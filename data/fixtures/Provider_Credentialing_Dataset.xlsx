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viders" sheetId="2" state="visible" r:id="rId4"/>
    <sheet name="Licenses" sheetId="3" state="visible" r:id="rId5"/>
    <sheet name="Board_Certifications" sheetId="4" state="visible" r:id="rId6"/>
    <sheet name="DEA_Registrations" sheetId="5" state="visible" r:id="rId7"/>
    <sheet name="Malpractice_Insurance" sheetId="6" state="visible" r:id="rId8"/>
    <sheet name="Sanctions_Exclusions_Monitor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<sst xmlns="http://schemas.openxmlformats.org/spreadsheetml/2006/main" count="1373" uniqueCount="440">
  <si>
    <t xml:space="preserve">Provider Credentialing Dataset</t>
  </si>
  <si>
    <t xml:space="preserve">Synthetic dataset for credentialing workflow, compliance monitoring, and governance automation testing</t>
  </si>
  <si>
    <t xml:space="preserve">Purpose</t>
  </si>
  <si>
    <t xml:space="preserve">Sample data modeling a payer/health-system provider credentialing file: demographics, licensure, board certification, DEA registration, malpractice coverage, and sanctions/exclusions monitoring.</t>
  </si>
  <si>
    <t xml:space="preserve">Data status</t>
  </si>
  <si>
    <t xml:space="preserve">All names, NPIs, license numbers, DEA numbers, and dates are synthetic (fabricated for testing). No real providers or identifiers are represented.</t>
  </si>
  <si>
    <t xml:space="preserve">Reference date</t>
  </si>
  <si>
    <t xml:space="preserve">Formulas that compute days-to-expiration and flag status are anchored to TODAY() at open, not a fixed date, so re-opening this file will recalculate live.</t>
  </si>
  <si>
    <t xml:space="preserve">Recredentialing cycle</t>
  </si>
  <si>
    <t xml:space="preserve">Modeled on the standard NCQA 3-year recredentialing cycle (Cred_Effective_Date + 3 years).</t>
  </si>
  <si>
    <t xml:space="preserve">Status flag logic</t>
  </si>
  <si>
    <t xml:space="preserve">EXPIRED = expiration date has passed. EXPIRING SOON = within 90 days. ACTIVE = beyond 90 days.</t>
  </si>
  <si>
    <t xml:space="preserve">Sheets</t>
  </si>
  <si>
    <t xml:space="preserve">Providers (master) | Licenses | Board_Certifications | DEA_Registrations | Malpractice_Insurance | Sanctions_Exclusions_Monitoring</t>
  </si>
  <si>
    <t xml:space="preserve">Join key</t>
  </si>
  <si>
    <t xml:space="preserve">All child sheets join back to Providers via Provider_ID.</t>
  </si>
  <si>
    <t xml:space="preserve">Suggested use</t>
  </si>
  <si>
    <t xml:space="preserve">Import into Salesforce Health Cloud / a governance layer (e.g. Node2AI) to test credentialing workflow triggers, expiration alerting, and audit trail generation.</t>
  </si>
  <si>
    <t xml:space="preserve">Provider ID</t>
  </si>
  <si>
    <t xml:space="preserve">NPI</t>
  </si>
  <si>
    <t xml:space="preserve">Last Name</t>
  </si>
  <si>
    <t xml:space="preserve">First Name</t>
  </si>
  <si>
    <t xml:space="preserve">Type</t>
  </si>
  <si>
    <t xml:space="preserve">Specialty</t>
  </si>
  <si>
    <t xml:space="preserve">Group/TIN Entity</t>
  </si>
  <si>
    <t xml:space="preserve">TIN</t>
  </si>
  <si>
    <t xml:space="preserve">Practice State</t>
  </si>
  <si>
    <t xml:space="preserve">Hire Date</t>
  </si>
  <si>
    <t xml:space="preserve">Credentialing Status</t>
  </si>
  <si>
    <t xml:space="preserve">Cred. Effective Date</t>
  </si>
  <si>
    <t xml:space="preserve">Cred. Expiration Date</t>
  </si>
  <si>
    <t xml:space="preserve">PECOS Enrolled</t>
  </si>
  <si>
    <t xml:space="preserve">CAQH ID</t>
  </si>
  <si>
    <t xml:space="preserve">CAQH Attestation Date</t>
  </si>
  <si>
    <t xml:space="preserve">Days to Recred. Expiration</t>
  </si>
  <si>
    <t xml:space="preserve">Recred. Status Flag</t>
  </si>
  <si>
    <t xml:space="preserve">PRV-1001</t>
  </si>
  <si>
    <t xml:space="preserve">1149827706</t>
  </si>
  <si>
    <t xml:space="preserve">Johnson</t>
  </si>
  <si>
    <t xml:space="preserve">Jennifer</t>
  </si>
  <si>
    <t xml:space="preserve">MD</t>
  </si>
  <si>
    <t xml:space="preserve">Endocrinology</t>
  </si>
  <si>
    <t xml:space="preserve">Coastal Medical Group</t>
  </si>
  <si>
    <t xml:space="preserve">83-1129483</t>
  </si>
  <si>
    <t xml:space="preserve">NY</t>
  </si>
  <si>
    <t xml:space="preserve">Active</t>
  </si>
  <si>
    <t xml:space="preserve">N</t>
  </si>
  <si>
    <t xml:space="preserve">19149732</t>
  </si>
  <si>
    <t xml:space="preserve">PRV-1002</t>
  </si>
  <si>
    <t xml:space="preserve">1385451171</t>
  </si>
  <si>
    <t xml:space="preserve">Miller</t>
  </si>
  <si>
    <t xml:space="preserve">Lisa</t>
  </si>
  <si>
    <t xml:space="preserve">Cardiology</t>
  </si>
  <si>
    <t xml:space="preserve">Sunrise Health Partners</t>
  </si>
  <si>
    <t xml:space="preserve">81-3345210</t>
  </si>
  <si>
    <t xml:space="preserve">OH</t>
  </si>
  <si>
    <t xml:space="preserve">Pending Recredentialing</t>
  </si>
  <si>
    <t xml:space="preserve">14437923</t>
  </si>
  <si>
    <t xml:space="preserve">PRV-1003</t>
  </si>
  <si>
    <t xml:space="preserve">1681802744</t>
  </si>
  <si>
    <t xml:space="preserve">Wilson</t>
  </si>
  <si>
    <t xml:space="preserve">Matthew</t>
  </si>
  <si>
    <t xml:space="preserve">Harborview Multispecialty Group</t>
  </si>
  <si>
    <t xml:space="preserve">86-4453321</t>
  </si>
  <si>
    <t xml:space="preserve">GA</t>
  </si>
  <si>
    <t xml:space="preserve">14107245</t>
  </si>
  <si>
    <t xml:space="preserve">PRV-1004</t>
  </si>
  <si>
    <t xml:space="preserve">1799925830</t>
  </si>
  <si>
    <t xml:space="preserve">Martinez</t>
  </si>
  <si>
    <t xml:space="preserve">Ashley</t>
  </si>
  <si>
    <t xml:space="preserve">TX</t>
  </si>
  <si>
    <t xml:space="preserve">14408072</t>
  </si>
  <si>
    <t xml:space="preserve">PRV-1005</t>
  </si>
  <si>
    <t xml:space="preserve">1269953851</t>
  </si>
  <si>
    <t xml:space="preserve">Harris</t>
  </si>
  <si>
    <t xml:space="preserve">Anthony</t>
  </si>
  <si>
    <t xml:space="preserve">Radiology</t>
  </si>
  <si>
    <t xml:space="preserve">PA</t>
  </si>
  <si>
    <t xml:space="preserve">Provisional</t>
  </si>
  <si>
    <t xml:space="preserve">Y</t>
  </si>
  <si>
    <t xml:space="preserve">11921859</t>
  </si>
  <si>
    <t xml:space="preserve">PRV-1006</t>
  </si>
  <si>
    <t xml:space="preserve">1836043811</t>
  </si>
  <si>
    <t xml:space="preserve">Joseph</t>
  </si>
  <si>
    <t xml:space="preserve">NP</t>
  </si>
  <si>
    <t xml:space="preserve">Nurse Practitioner - Primary Care</t>
  </si>
  <si>
    <t xml:space="preserve">15438436</t>
  </si>
  <si>
    <t xml:space="preserve">PRV-1007</t>
  </si>
  <si>
    <t xml:space="preserve">1997413271</t>
  </si>
  <si>
    <t xml:space="preserve">Taylor</t>
  </si>
  <si>
    <t xml:space="preserve">Richard</t>
  </si>
  <si>
    <t xml:space="preserve">Oncology</t>
  </si>
  <si>
    <t xml:space="preserve">13374754</t>
  </si>
  <si>
    <t xml:space="preserve">PRV-1008</t>
  </si>
  <si>
    <t xml:space="preserve">1718309417</t>
  </si>
  <si>
    <t xml:space="preserve">Perez</t>
  </si>
  <si>
    <t xml:space="preserve">Robert</t>
  </si>
  <si>
    <t xml:space="preserve">Meridian Physician Network</t>
  </si>
  <si>
    <t xml:space="preserve">84-2201175</t>
  </si>
  <si>
    <t xml:space="preserve">19046844</t>
  </si>
  <si>
    <t xml:space="preserve">PRV-1009</t>
  </si>
  <si>
    <t xml:space="preserve">1299085574</t>
  </si>
  <si>
    <t xml:space="preserve">Lewis</t>
  </si>
  <si>
    <t xml:space="preserve">Kenneth</t>
  </si>
  <si>
    <t xml:space="preserve">Psychiatry</t>
  </si>
  <si>
    <t xml:space="preserve">11264748</t>
  </si>
  <si>
    <t xml:space="preserve">PRV-1010</t>
  </si>
  <si>
    <t xml:space="preserve">1233754555</t>
  </si>
  <si>
    <t xml:space="preserve">Young</t>
  </si>
  <si>
    <t xml:space="preserve">Donna</t>
  </si>
  <si>
    <t xml:space="preserve">19096526</t>
  </si>
  <si>
    <t xml:space="preserve">PRV-1011</t>
  </si>
  <si>
    <t xml:space="preserve">1606907788</t>
  </si>
  <si>
    <t xml:space="preserve">Flores</t>
  </si>
  <si>
    <t xml:space="preserve">14374922</t>
  </si>
  <si>
    <t xml:space="preserve">PRV-1012</t>
  </si>
  <si>
    <t xml:space="preserve">1866616964</t>
  </si>
  <si>
    <t xml:space="preserve">Neurology</t>
  </si>
  <si>
    <t xml:space="preserve">IL</t>
  </si>
  <si>
    <t xml:space="preserve">Under Committee Review</t>
  </si>
  <si>
    <t xml:space="preserve">10131249</t>
  </si>
  <si>
    <t xml:space="preserve">PRV-1013</t>
  </si>
  <si>
    <t xml:space="preserve">1173497327</t>
  </si>
  <si>
    <t xml:space="preserve">Smith</t>
  </si>
  <si>
    <t xml:space="preserve">DPT</t>
  </si>
  <si>
    <t xml:space="preserve">Physical Therapy</t>
  </si>
  <si>
    <t xml:space="preserve">17175395</t>
  </si>
  <si>
    <t xml:space="preserve">PRV-1014</t>
  </si>
  <si>
    <t xml:space="preserve">1949332407</t>
  </si>
  <si>
    <t xml:space="preserve">Thomas</t>
  </si>
  <si>
    <t xml:space="preserve">Jessica</t>
  </si>
  <si>
    <t xml:space="preserve">LCSW</t>
  </si>
  <si>
    <t xml:space="preserve">Behavioral Health</t>
  </si>
  <si>
    <t xml:space="preserve">NC</t>
  </si>
  <si>
    <t xml:space="preserve">12592974</t>
  </si>
  <si>
    <t xml:space="preserve">PRV-1015</t>
  </si>
  <si>
    <t xml:space="preserve">1327696198</t>
  </si>
  <si>
    <t xml:space="preserve">Anderson</t>
  </si>
  <si>
    <t xml:space="preserve">Steven</t>
  </si>
  <si>
    <t xml:space="preserve">OB/GYN</t>
  </si>
  <si>
    <t xml:space="preserve">10397023</t>
  </si>
  <si>
    <t xml:space="preserve">PRV-1016</t>
  </si>
  <si>
    <t xml:space="preserve">1965835850</t>
  </si>
  <si>
    <t xml:space="preserve">Ramirez</t>
  </si>
  <si>
    <t xml:space="preserve">Daniel</t>
  </si>
  <si>
    <t xml:space="preserve">Vanguard Clinical Associates</t>
  </si>
  <si>
    <t xml:space="preserve">85-9987234</t>
  </si>
  <si>
    <t xml:space="preserve">14273534</t>
  </si>
  <si>
    <t xml:space="preserve">PRV-1017</t>
  </si>
  <si>
    <t xml:space="preserve">1588343096</t>
  </si>
  <si>
    <t xml:space="preserve">Mark</t>
  </si>
  <si>
    <t xml:space="preserve">DO</t>
  </si>
  <si>
    <t xml:space="preserve">Orthopedic Surgery</t>
  </si>
  <si>
    <t xml:space="preserve">14813613</t>
  </si>
  <si>
    <t xml:space="preserve">PRV-1018</t>
  </si>
  <si>
    <t xml:space="preserve">1510173760</t>
  </si>
  <si>
    <t xml:space="preserve">Family Medicine</t>
  </si>
  <si>
    <t xml:space="preserve">FL</t>
  </si>
  <si>
    <t xml:space="preserve">17640615</t>
  </si>
  <si>
    <t xml:space="preserve">PRV-1019</t>
  </si>
  <si>
    <t xml:space="preserve">1657830420</t>
  </si>
  <si>
    <t xml:space="preserve">King</t>
  </si>
  <si>
    <t xml:space="preserve">19191766</t>
  </si>
  <si>
    <t xml:space="preserve">PRV-1020</t>
  </si>
  <si>
    <t xml:space="preserve">1745122940</t>
  </si>
  <si>
    <t xml:space="preserve">Rodriguez</t>
  </si>
  <si>
    <t xml:space="preserve">Patricia</t>
  </si>
  <si>
    <t xml:space="preserve">13589533</t>
  </si>
  <si>
    <t xml:space="preserve">PRV-1021</t>
  </si>
  <si>
    <t xml:space="preserve">1293062061</t>
  </si>
  <si>
    <t xml:space="preserve">Hill</t>
  </si>
  <si>
    <t xml:space="preserve">Pediatrics</t>
  </si>
  <si>
    <t xml:space="preserve">10486955</t>
  </si>
  <si>
    <t xml:space="preserve">PRV-1022</t>
  </si>
  <si>
    <t xml:space="preserve">1362388455</t>
  </si>
  <si>
    <t xml:space="preserve">Lee</t>
  </si>
  <si>
    <t xml:space="preserve">17072684</t>
  </si>
  <si>
    <t xml:space="preserve">PRV-1023</t>
  </si>
  <si>
    <t xml:space="preserve">1652027025</t>
  </si>
  <si>
    <t xml:space="preserve">15218367</t>
  </si>
  <si>
    <t xml:space="preserve">PRV-1024</t>
  </si>
  <si>
    <t xml:space="preserve">1465492204</t>
  </si>
  <si>
    <t xml:space="preserve">Dermatology</t>
  </si>
  <si>
    <t xml:space="preserve">17713146</t>
  </si>
  <si>
    <t xml:space="preserve">PRV-1025</t>
  </si>
  <si>
    <t xml:space="preserve">1227761953</t>
  </si>
  <si>
    <t xml:space="preserve">Maria</t>
  </si>
  <si>
    <t xml:space="preserve">15709938</t>
  </si>
  <si>
    <t xml:space="preserve">PRV-1026</t>
  </si>
  <si>
    <t xml:space="preserve">1328786222</t>
  </si>
  <si>
    <t xml:space="preserve">Jackson</t>
  </si>
  <si>
    <t xml:space="preserve">16191135</t>
  </si>
  <si>
    <t xml:space="preserve">PRV-1027</t>
  </si>
  <si>
    <t xml:space="preserve">1318092217</t>
  </si>
  <si>
    <t xml:space="preserve">Emily</t>
  </si>
  <si>
    <t xml:space="preserve">Nephrology</t>
  </si>
  <si>
    <t xml:space="preserve">13010529</t>
  </si>
  <si>
    <t xml:space="preserve">PRV-1028</t>
  </si>
  <si>
    <t xml:space="preserve">1079545125</t>
  </si>
  <si>
    <t xml:space="preserve">Davis</t>
  </si>
  <si>
    <t xml:space="preserve">10899411</t>
  </si>
  <si>
    <t xml:space="preserve">PRV-1029</t>
  </si>
  <si>
    <t xml:space="preserve">1257553274</t>
  </si>
  <si>
    <t xml:space="preserve">11259379</t>
  </si>
  <si>
    <t xml:space="preserve">PRV-1030</t>
  </si>
  <si>
    <t xml:space="preserve">1638923667</t>
  </si>
  <si>
    <t xml:space="preserve">Jones</t>
  </si>
  <si>
    <t xml:space="preserve">Elizabeth</t>
  </si>
  <si>
    <t xml:space="preserve">Internal Medicine</t>
  </si>
  <si>
    <t xml:space="preserve">17367772</t>
  </si>
  <si>
    <t xml:space="preserve">PRV-1031</t>
  </si>
  <si>
    <t xml:space="preserve">1557233178</t>
  </si>
  <si>
    <t xml:space="preserve">Torres</t>
  </si>
  <si>
    <t xml:space="preserve">Karen</t>
  </si>
  <si>
    <t xml:space="preserve">14666692</t>
  </si>
  <si>
    <t xml:space="preserve">PRV-1032</t>
  </si>
  <si>
    <t xml:space="preserve">1928690670</t>
  </si>
  <si>
    <t xml:space="preserve">19103209</t>
  </si>
  <si>
    <t xml:space="preserve">PRV-1033</t>
  </si>
  <si>
    <t xml:space="preserve">1333665422</t>
  </si>
  <si>
    <t xml:space="preserve">Kimberly</t>
  </si>
  <si>
    <t xml:space="preserve">19265241</t>
  </si>
  <si>
    <t xml:space="preserve">PRV-1034</t>
  </si>
  <si>
    <t xml:space="preserve">1845805127</t>
  </si>
  <si>
    <t xml:space="preserve">William</t>
  </si>
  <si>
    <t xml:space="preserve">10043037</t>
  </si>
  <si>
    <t xml:space="preserve">PRV-1035</t>
  </si>
  <si>
    <t xml:space="preserve">1039749508</t>
  </si>
  <si>
    <t xml:space="preserve">Physician Assistant - Surgery</t>
  </si>
  <si>
    <t xml:space="preserve">19901584</t>
  </si>
  <si>
    <t xml:space="preserve">PRV-1036</t>
  </si>
  <si>
    <t xml:space="preserve">1073466219</t>
  </si>
  <si>
    <t xml:space="preserve">14821419</t>
  </si>
  <si>
    <t xml:space="preserve">PRV-1037</t>
  </si>
  <si>
    <t xml:space="preserve">1935056899</t>
  </si>
  <si>
    <t xml:space="preserve">Hernandez</t>
  </si>
  <si>
    <t xml:space="preserve">Susan</t>
  </si>
  <si>
    <t xml:space="preserve">14040453</t>
  </si>
  <si>
    <t xml:space="preserve">PRV-1038</t>
  </si>
  <si>
    <t xml:space="preserve">1254697684</t>
  </si>
  <si>
    <t xml:space="preserve">Gonzalez</t>
  </si>
  <si>
    <t xml:space="preserve">Nancy</t>
  </si>
  <si>
    <t xml:space="preserve">16022335</t>
  </si>
  <si>
    <t xml:space="preserve">PRV-1039</t>
  </si>
  <si>
    <t xml:space="preserve">1035824891</t>
  </si>
  <si>
    <t xml:space="preserve">12204724</t>
  </si>
  <si>
    <t xml:space="preserve">PRV-1040</t>
  </si>
  <si>
    <t xml:space="preserve">1014945047</t>
  </si>
  <si>
    <t xml:space="preserve">Scott</t>
  </si>
  <si>
    <t xml:space="preserve">Margaret</t>
  </si>
  <si>
    <t xml:space="preserve">12073474</t>
  </si>
  <si>
    <t xml:space="preserve">PRV-1041</t>
  </si>
  <si>
    <t xml:space="preserve">1150084428</t>
  </si>
  <si>
    <t xml:space="preserve">Robinson</t>
  </si>
  <si>
    <t xml:space="preserve">Michael</t>
  </si>
  <si>
    <t xml:space="preserve">15106390</t>
  </si>
  <si>
    <t xml:space="preserve">PRV-1042</t>
  </si>
  <si>
    <t xml:space="preserve">1968188935</t>
  </si>
  <si>
    <t xml:space="preserve">White</t>
  </si>
  <si>
    <t xml:space="preserve">Sarah</t>
  </si>
  <si>
    <t xml:space="preserve">11015861</t>
  </si>
  <si>
    <t xml:space="preserve">License Type</t>
  </si>
  <si>
    <t xml:space="preserve">License Number</t>
  </si>
  <si>
    <t xml:space="preserve">State</t>
  </si>
  <si>
    <t xml:space="preserve">Issue Date</t>
  </si>
  <si>
    <t xml:space="preserve">Expiration Date</t>
  </si>
  <si>
    <t xml:space="preserve">Status</t>
  </si>
  <si>
    <t xml:space="preserve">Days to Expiration</t>
  </si>
  <si>
    <t xml:space="preserve">MD License</t>
  </si>
  <si>
    <t xml:space="preserve">NY629903</t>
  </si>
  <si>
    <t xml:space="preserve">Expired</t>
  </si>
  <si>
    <t xml:space="preserve">OH407419</t>
  </si>
  <si>
    <t xml:space="preserve">GA440035</t>
  </si>
  <si>
    <t xml:space="preserve">TX634277</t>
  </si>
  <si>
    <t xml:space="preserve">PA265840</t>
  </si>
  <si>
    <t xml:space="preserve">NP License</t>
  </si>
  <si>
    <t xml:space="preserve">TX352572</t>
  </si>
  <si>
    <t xml:space="preserve">OH226882</t>
  </si>
  <si>
    <t xml:space="preserve">NY201639</t>
  </si>
  <si>
    <t xml:space="preserve">OH989921</t>
  </si>
  <si>
    <t xml:space="preserve">NY994141</t>
  </si>
  <si>
    <t xml:space="preserve">OH776856</t>
  </si>
  <si>
    <t xml:space="preserve">IL212235</t>
  </si>
  <si>
    <t xml:space="preserve">DPT License</t>
  </si>
  <si>
    <t xml:space="preserve">TX975136</t>
  </si>
  <si>
    <t xml:space="preserve">LCSW License</t>
  </si>
  <si>
    <t xml:space="preserve">NC872343</t>
  </si>
  <si>
    <t xml:space="preserve">PA392683</t>
  </si>
  <si>
    <t xml:space="preserve">GA877991</t>
  </si>
  <si>
    <t xml:space="preserve">DO License</t>
  </si>
  <si>
    <t xml:space="preserve">IL808446</t>
  </si>
  <si>
    <t xml:space="preserve">FL254739</t>
  </si>
  <si>
    <t xml:space="preserve">NC359249</t>
  </si>
  <si>
    <t xml:space="preserve">NY165290</t>
  </si>
  <si>
    <t xml:space="preserve">PA752483</t>
  </si>
  <si>
    <t xml:space="preserve">PA335113</t>
  </si>
  <si>
    <t xml:space="preserve">TX307963</t>
  </si>
  <si>
    <t xml:space="preserve">PA745830</t>
  </si>
  <si>
    <t xml:space="preserve">TX353080</t>
  </si>
  <si>
    <t xml:space="preserve">OH575786</t>
  </si>
  <si>
    <t xml:space="preserve">GA157174</t>
  </si>
  <si>
    <t xml:space="preserve">OH224205</t>
  </si>
  <si>
    <t xml:space="preserve">GA134225</t>
  </si>
  <si>
    <t xml:space="preserve">TX666211</t>
  </si>
  <si>
    <t xml:space="preserve">TX528184</t>
  </si>
  <si>
    <t xml:space="preserve">GA893188</t>
  </si>
  <si>
    <t xml:space="preserve">NY972565</t>
  </si>
  <si>
    <t xml:space="preserve">OH607868</t>
  </si>
  <si>
    <t xml:space="preserve">PA License</t>
  </si>
  <si>
    <t xml:space="preserve">TX116093</t>
  </si>
  <si>
    <t xml:space="preserve">FL827712</t>
  </si>
  <si>
    <t xml:space="preserve">GA799233</t>
  </si>
  <si>
    <t xml:space="preserve">PA387813</t>
  </si>
  <si>
    <t xml:space="preserve">IL924718</t>
  </si>
  <si>
    <t xml:space="preserve">GA769567</t>
  </si>
  <si>
    <t xml:space="preserve">OH575679</t>
  </si>
  <si>
    <t xml:space="preserve">NC322409</t>
  </si>
  <si>
    <t xml:space="preserve">Certifying Board</t>
  </si>
  <si>
    <t xml:space="preserve">Certification</t>
  </si>
  <si>
    <t xml:space="preserve">Certification Date</t>
  </si>
  <si>
    <t xml:space="preserve">American Board of Medical Specialties</t>
  </si>
  <si>
    <t xml:space="preserve">Endocrinology Certification</t>
  </si>
  <si>
    <t xml:space="preserve">Cardiology Certification</t>
  </si>
  <si>
    <t xml:space="preserve">Radiology Certification</t>
  </si>
  <si>
    <t xml:space="preserve">American Academy of Nurse Practitioners</t>
  </si>
  <si>
    <t xml:space="preserve">Nurse Practitioner - Primary Care Certification</t>
  </si>
  <si>
    <t xml:space="preserve">Oncology Certification</t>
  </si>
  <si>
    <t xml:space="preserve">Psychiatry Certification</t>
  </si>
  <si>
    <t xml:space="preserve">Neurology Certification</t>
  </si>
  <si>
    <t xml:space="preserve">American Board of Physical Therapy Specialties</t>
  </si>
  <si>
    <t xml:space="preserve">Physical Therapy Certification</t>
  </si>
  <si>
    <t xml:space="preserve">Association of Social Work Boards</t>
  </si>
  <si>
    <t xml:space="preserve">Behavioral Health Certification</t>
  </si>
  <si>
    <t xml:space="preserve">OB/GYN Certification</t>
  </si>
  <si>
    <t xml:space="preserve">American Osteopathic Association</t>
  </si>
  <si>
    <t xml:space="preserve">Orthopedic Surgery Certification</t>
  </si>
  <si>
    <t xml:space="preserve">Family Medicine Certification</t>
  </si>
  <si>
    <t xml:space="preserve">Pediatrics Certification</t>
  </si>
  <si>
    <t xml:space="preserve">Dermatology Certification</t>
  </si>
  <si>
    <t xml:space="preserve">Nephrology Certification</t>
  </si>
  <si>
    <t xml:space="preserve">Internal Medicine Certification</t>
  </si>
  <si>
    <t xml:space="preserve">National Commission on Certification of PAs</t>
  </si>
  <si>
    <t xml:space="preserve">Physician Assistant - Surgery Certification</t>
  </si>
  <si>
    <t xml:space="preserve">DEA Number</t>
  </si>
  <si>
    <t xml:space="preserve">Schedule</t>
  </si>
  <si>
    <t xml:space="preserve">BH5667265</t>
  </si>
  <si>
    <t xml:space="preserve">II-V</t>
  </si>
  <si>
    <t xml:space="preserve">AD5855124</t>
  </si>
  <si>
    <t xml:space="preserve">FG5491946</t>
  </si>
  <si>
    <t xml:space="preserve">AJ4860684</t>
  </si>
  <si>
    <t xml:space="preserve">MA2651177</t>
  </si>
  <si>
    <t xml:space="preserve">MD7728339</t>
  </si>
  <si>
    <t xml:space="preserve">AC2149597</t>
  </si>
  <si>
    <t xml:space="preserve">AH2677407</t>
  </si>
  <si>
    <t xml:space="preserve">FD5428914</t>
  </si>
  <si>
    <t xml:space="preserve">FA2935113</t>
  </si>
  <si>
    <t xml:space="preserve">FF3090865</t>
  </si>
  <si>
    <t xml:space="preserve">AE9647849</t>
  </si>
  <si>
    <t xml:space="preserve">MD3950888</t>
  </si>
  <si>
    <t xml:space="preserve">MD5606980</t>
  </si>
  <si>
    <t xml:space="preserve">AG9002392</t>
  </si>
  <si>
    <t xml:space="preserve">AD4344717</t>
  </si>
  <si>
    <t xml:space="preserve">AE3030966</t>
  </si>
  <si>
    <t xml:space="preserve">FD2453962</t>
  </si>
  <si>
    <t xml:space="preserve">AD6294016</t>
  </si>
  <si>
    <t xml:space="preserve">MB1205779</t>
  </si>
  <si>
    <t xml:space="preserve">MH8427625</t>
  </si>
  <si>
    <t xml:space="preserve">MB4916201</t>
  </si>
  <si>
    <t xml:space="preserve">MF5200476</t>
  </si>
  <si>
    <t xml:space="preserve">BF7906258</t>
  </si>
  <si>
    <t xml:space="preserve">FG9094999</t>
  </si>
  <si>
    <t xml:space="preserve">MF4165061</t>
  </si>
  <si>
    <t xml:space="preserve">AH5446344</t>
  </si>
  <si>
    <t xml:space="preserve">FA5921894</t>
  </si>
  <si>
    <t xml:space="preserve">FJ3650391</t>
  </si>
  <si>
    <t xml:space="preserve">ME4860745</t>
  </si>
  <si>
    <t xml:space="preserve">BE9084065</t>
  </si>
  <si>
    <t xml:space="preserve">BG2661307</t>
  </si>
  <si>
    <t xml:space="preserve">Carrier</t>
  </si>
  <si>
    <t xml:space="preserve">Policy Number</t>
  </si>
  <si>
    <t xml:space="preserve">Coverage Limits</t>
  </si>
  <si>
    <t xml:space="preserve">Effective Date</t>
  </si>
  <si>
    <t xml:space="preserve">MedPro Group</t>
  </si>
  <si>
    <t xml:space="preserve">MP-543143</t>
  </si>
  <si>
    <t xml:space="preserve">$1M/$3M</t>
  </si>
  <si>
    <t xml:space="preserve">ProAssurance</t>
  </si>
  <si>
    <t xml:space="preserve">MP-498591</t>
  </si>
  <si>
    <t xml:space="preserve">NORCAL Group</t>
  </si>
  <si>
    <t xml:space="preserve">MP-852787</t>
  </si>
  <si>
    <t xml:space="preserve">The Doctors Company</t>
  </si>
  <si>
    <t xml:space="preserve">MP-757924</t>
  </si>
  <si>
    <t xml:space="preserve">MP-211579</t>
  </si>
  <si>
    <t xml:space="preserve">MP-903035</t>
  </si>
  <si>
    <t xml:space="preserve">MP-174441</t>
  </si>
  <si>
    <t xml:space="preserve">MP-455784</t>
  </si>
  <si>
    <t xml:space="preserve">$1M/$1M</t>
  </si>
  <si>
    <t xml:space="preserve">Coverys</t>
  </si>
  <si>
    <t xml:space="preserve">MP-102260</t>
  </si>
  <si>
    <t xml:space="preserve">MP-346629</t>
  </si>
  <si>
    <t xml:space="preserve">MP-378082</t>
  </si>
  <si>
    <t xml:space="preserve">MagMutual</t>
  </si>
  <si>
    <t xml:space="preserve">MP-987204</t>
  </si>
  <si>
    <t xml:space="preserve">MP-233636</t>
  </si>
  <si>
    <t xml:space="preserve">MP-266931</t>
  </si>
  <si>
    <t xml:space="preserve">MP-378361</t>
  </si>
  <si>
    <t xml:space="preserve">MP-528231</t>
  </si>
  <si>
    <t xml:space="preserve">$2M/$4M</t>
  </si>
  <si>
    <t xml:space="preserve">MP-958179</t>
  </si>
  <si>
    <t xml:space="preserve">MP-684482</t>
  </si>
  <si>
    <t xml:space="preserve">MP-399607</t>
  </si>
  <si>
    <t xml:space="preserve">MP-890075</t>
  </si>
  <si>
    <t xml:space="preserve">MP-773971</t>
  </si>
  <si>
    <t xml:space="preserve">MP-232352</t>
  </si>
  <si>
    <t xml:space="preserve">MP-658623</t>
  </si>
  <si>
    <t xml:space="preserve">MP-886931</t>
  </si>
  <si>
    <t xml:space="preserve">MP-599219</t>
  </si>
  <si>
    <t xml:space="preserve">MP-326895</t>
  </si>
  <si>
    <t xml:space="preserve">MP-601968</t>
  </si>
  <si>
    <t xml:space="preserve">MP-696251</t>
  </si>
  <si>
    <t xml:space="preserve">MP-220351</t>
  </si>
  <si>
    <t xml:space="preserve">MP-807053</t>
  </si>
  <si>
    <t xml:space="preserve">MP-794769</t>
  </si>
  <si>
    <t xml:space="preserve">MP-313446</t>
  </si>
  <si>
    <t xml:space="preserve">MP-678043</t>
  </si>
  <si>
    <t xml:space="preserve">MP-501574</t>
  </si>
  <si>
    <t xml:space="preserve">MP-184216</t>
  </si>
  <si>
    <t xml:space="preserve">MP-252640</t>
  </si>
  <si>
    <t xml:space="preserve">MP-716113</t>
  </si>
  <si>
    <t xml:space="preserve">MP-767542</t>
  </si>
  <si>
    <t xml:space="preserve">MP-591081</t>
  </si>
  <si>
    <t xml:space="preserve">MP-749641</t>
  </si>
  <si>
    <t xml:space="preserve">MP-134305</t>
  </si>
  <si>
    <t xml:space="preserve">MP-232040</t>
  </si>
  <si>
    <t xml:space="preserve">OIG LEIE Check Date</t>
  </si>
  <si>
    <t xml:space="preserve">SAM.gov Check Date</t>
  </si>
  <si>
    <t xml:space="preserve">NPDB Check Date</t>
  </si>
  <si>
    <t xml:space="preserve">State Board Check Date</t>
  </si>
  <si>
    <t xml:space="preserve">Result</t>
  </si>
  <si>
    <t xml:space="preserve">Next Monthly Check Due</t>
  </si>
  <si>
    <t xml:space="preserve">Clear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</si>
</sst>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5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B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oardCerts_tbl" displayName="BoardCerts_tbl" ref="A1:F43" headerRowCount="1" totalsRowCount="0" totalsRowShown="0">
  <autoFilter ref="A1:F43"/>
  <tableColumns count="6">
    <tableColumn id="1" name="Provider ID"/>
    <tableColumn id="2" name="Certifying Board"/>
    <tableColumn id="3" name="Certification"/>
    <tableColumn id="4" name="Certification Date"/>
    <tableColumn id="5" name="Expiration Date"/>
    <tableColumn id="6" name="Status"/>
  </tableColumns>
</table>
</file>

<file path=xl/tables/table2.xml><?xml version="1.0" encoding="utf-8"?>
<table xmlns="http://schemas.openxmlformats.org/spreadsheetml/2006/main" id="2" name="DEA_tbl" displayName="DEA_tbl" ref="A1:E33" headerRowCount="1" totalsRowCount="0" totalsRowShown="0">
  <autoFilter ref="A1:E33"/>
  <tableColumns count="5">
    <tableColumn id="1" name="Provider ID"/>
    <tableColumn id="2" name="DEA Number"/>
    <tableColumn id="3" name="Schedule"/>
    <tableColumn id="4" name="Expiration Date"/>
    <tableColumn id="5" name="Status"/>
  </tableColumns>
</table>
</file>

<file path=xl/tables/table3.xml><?xml version="1.0" encoding="utf-8"?>
<table xmlns="http://schemas.openxmlformats.org/spreadsheetml/2006/main" id="3" name="Licenses_tbl" displayName="Licenses_tbl" ref="A1:H43" headerRowCount="1" totalsRowCount="0" totalsRowShown="0">
  <autoFilter ref="A1:H43"/>
  <tableColumns count="8">
    <tableColumn id="1" name="Provider ID"/>
    <tableColumn id="2" name="License Type"/>
    <tableColumn id="3" name="License Number"/>
    <tableColumn id="4" name="State"/>
    <tableColumn id="5" name="Issue Date"/>
    <tableColumn id="6" name="Expiration Date"/>
    <tableColumn id="7" name="Status"/>
    <tableColumn id="8" name="Days to Expiration"/>
  </tableColumns>
</table>
</file>

<file path=xl/tables/table4.xml><?xml version="1.0" encoding="utf-8"?>
<table xmlns="http://schemas.openxmlformats.org/spreadsheetml/2006/main" id="4" name="Malpractice_tbl" displayName="Malpractice_tbl" ref="A1:G43" headerRowCount="1" totalsRowCount="0" totalsRowShown="0">
  <autoFilter ref="A1:G43"/>
  <tableColumns count="7">
    <tableColumn id="1" name="Provider ID"/>
    <tableColumn id="2" name="Carrier"/>
    <tableColumn id="3" name="Policy Number"/>
    <tableColumn id="4" name="Coverage Limits"/>
    <tableColumn id="5" name="Effective Date"/>
    <tableColumn id="6" name="Expiration Date"/>
    <tableColumn id="7" name="Status"/>
  </tableColumns>
</table>
</file>

<file path=xl/tables/table5.xml><?xml version="1.0" encoding="utf-8"?>
<table xmlns="http://schemas.openxmlformats.org/spreadsheetml/2006/main" id="5" name="Providers_tbl" displayName="Providers_tbl" ref="A1:R43" headerRowCount="1" totalsRowCount="0" totalsRowShown="0">
  <autoFilter ref="A1:R43"/>
  <tableColumns count="18">
    <tableColumn id="1" name="Provider ID"/>
    <tableColumn id="2" name="NPI"/>
    <tableColumn id="3" name="Last Name"/>
    <tableColumn id="4" name="First Name"/>
    <tableColumn id="5" name="Type"/>
    <tableColumn id="6" name="Specialty"/>
    <tableColumn id="7" name="Group/TIN Entity"/>
    <tableColumn id="8" name="TIN"/>
    <tableColumn id="9" name="Practice State"/>
    <tableColumn id="10" name="Hire Date"/>
    <tableColumn id="11" name="Credentialing Status"/>
    <tableColumn id="12" name="Cred. Effective Date"/>
    <tableColumn id="13" name="Cred. Expiration Date"/>
    <tableColumn id="14" name="PECOS Enrolled"/>
    <tableColumn id="15" name="CAQH ID"/>
    <tableColumn id="16" name="CAQH Attestation Date"/>
    <tableColumn id="17" name="Days to Recred. Expiration"/>
    <tableColumn id="18" name="Recred. Status Flag"/>
  </tableColumns>
</table>
</file>

<file path=xl/tables/table6.xml><?xml version="1.0" encoding="utf-8"?>
<table xmlns="http://schemas.openxmlformats.org/spreadsheetml/2006/main" id="6" name="Sanctions_tbl" displayName="Sanctions_tbl" ref="A1:G43" headerRowCount="1" totalsRowCount="0" totalsRowShown="0">
  <autoFilter ref="A1:G43"/>
  <tableColumns count="7">
    <tableColumn id="1" name="Provider ID"/>
    <tableColumn id="2" name="OIG LEIE Check Date"/>
    <tableColumn id="3" name="SAM.gov Check Date"/>
    <tableColumn id="4" name="NPDB Check Date"/>
    <tableColumn id="5" name="State Board Check Date"/>
    <tableColumn id="6" name="Result"/>
    <tableColumn id="7" name="Next Monthly Check D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6" min="3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31.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31.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31.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31.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31.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</row>
    <row r="10" customFormat="false" ht="31.5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</row>
    <row r="11" customFormat="false" ht="31.5" hidden="false" customHeight="true" outlineLevel="0" collapsed="false">
      <c r="A11" s="3" t="s">
        <v>16</v>
      </c>
      <c r="B11" s="4" t="s">
        <v>17</v>
      </c>
      <c r="C11" s="4"/>
      <c r="D11" s="4"/>
      <c r="E11" s="4"/>
      <c r="F11" s="4"/>
    </row>
  </sheetData>
  <mergeCells count="10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7"/>
    <col collapsed="false" customWidth="true" hidden="false" outlineLevel="0" max="13" min="12" style="0" width="15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5"/>
    <col collapsed="false" customWidth="true" hidden="false" outlineLevel="0" max="18" min="17" style="0" width="14"/>
  </cols>
  <sheetData>
    <row r="1" customFormat="false" ht="30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</row>
    <row r="2" customFormat="false" ht="15" hidden="false" customHeight="false" outlineLevel="0" collapsed="false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7" t="n">
        <v>43520</v>
      </c>
      <c r="K2" s="6" t="s">
        <v>45</v>
      </c>
      <c r="L2" s="7" t="n">
        <v>43577</v>
      </c>
      <c r="M2" s="7" t="n">
        <v>44673</v>
      </c>
      <c r="N2" s="6" t="s">
        <v>46</v>
      </c>
      <c r="O2" s="6" t="s">
        <v>47</v>
      </c>
      <c r="P2" s="7" t="n">
        <v>46191</v>
      </c>
      <c r="Q2" s="6" t="n">
        <f aca="true">M2-TODAY()</f>
        <v>-1572</v>
      </c>
      <c r="R2" s="6" t="str">
        <f aca="true">IF(M2&lt;TODAY(),"EXPIRED",IF(M2&lt;TODAY()+90,"EXPIRING SOON","ACTIVE"))</f>
        <v>EXPIRED</v>
      </c>
    </row>
    <row r="3" customFormat="false" ht="15" hidden="false" customHeight="false" outlineLevel="0" collapsed="false">
      <c r="A3" s="6" t="s">
        <v>48</v>
      </c>
      <c r="B3" s="6" t="s">
        <v>49</v>
      </c>
      <c r="C3" s="6" t="s">
        <v>50</v>
      </c>
      <c r="D3" s="6" t="s">
        <v>51</v>
      </c>
      <c r="E3" s="6" t="s">
        <v>40</v>
      </c>
      <c r="F3" s="6" t="s">
        <v>52</v>
      </c>
      <c r="G3" s="6" t="s">
        <v>53</v>
      </c>
      <c r="H3" s="6" t="s">
        <v>54</v>
      </c>
      <c r="I3" s="6" t="s">
        <v>55</v>
      </c>
      <c r="J3" s="7" t="n">
        <v>44509</v>
      </c>
      <c r="K3" s="6" t="s">
        <v>56</v>
      </c>
      <c r="L3" s="7" t="n">
        <v>44561</v>
      </c>
      <c r="M3" s="7" t="n">
        <v>45657</v>
      </c>
      <c r="N3" s="6" t="s">
        <v>46</v>
      </c>
      <c r="O3" s="6" t="s">
        <v>57</v>
      </c>
      <c r="P3" s="7" t="n">
        <v>46213</v>
      </c>
      <c r="Q3" s="6" t="n">
        <f aca="true">M3-TODAY()</f>
        <v>-588</v>
      </c>
      <c r="R3" s="6" t="str">
        <f aca="true">IF(M3&lt;TODAY(),"EXPIRED",IF(M3&lt;TODAY()+90,"EXPIRING SOON","ACTIVE"))</f>
        <v>EXPIRED</v>
      </c>
    </row>
    <row r="4" customFormat="false" ht="15" hidden="false" customHeight="false" outlineLevel="0" collapsed="false">
      <c r="A4" s="6" t="s">
        <v>58</v>
      </c>
      <c r="B4" s="6" t="s">
        <v>59</v>
      </c>
      <c r="C4" s="6" t="s">
        <v>60</v>
      </c>
      <c r="D4" s="6" t="s">
        <v>61</v>
      </c>
      <c r="E4" s="6" t="s">
        <v>40</v>
      </c>
      <c r="F4" s="6" t="s">
        <v>41</v>
      </c>
      <c r="G4" s="6" t="s">
        <v>62</v>
      </c>
      <c r="H4" s="6" t="s">
        <v>63</v>
      </c>
      <c r="I4" s="6" t="s">
        <v>64</v>
      </c>
      <c r="J4" s="7" t="n">
        <v>43801</v>
      </c>
      <c r="K4" s="6" t="s">
        <v>45</v>
      </c>
      <c r="L4" s="7" t="n">
        <v>43849</v>
      </c>
      <c r="M4" s="7" t="n">
        <v>44945</v>
      </c>
      <c r="N4" s="6" t="s">
        <v>46</v>
      </c>
      <c r="O4" s="6" t="s">
        <v>65</v>
      </c>
      <c r="P4" s="7" t="n">
        <v>46152</v>
      </c>
      <c r="Q4" s="6" t="n">
        <f aca="true">M4-TODAY()</f>
        <v>-1300</v>
      </c>
      <c r="R4" s="6" t="str">
        <f aca="true">IF(M4&lt;TODAY(),"EXPIRED",IF(M4&lt;TODAY()+90,"EXPIRING SOON","ACTIVE"))</f>
        <v>EXPIRED</v>
      </c>
    </row>
    <row r="5" customFormat="false" ht="15" hidden="false" customHeight="false" outlineLevel="0" collapsed="false">
      <c r="A5" s="6" t="s">
        <v>66</v>
      </c>
      <c r="B5" s="6" t="s">
        <v>67</v>
      </c>
      <c r="C5" s="6" t="s">
        <v>68</v>
      </c>
      <c r="D5" s="6" t="s">
        <v>69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70</v>
      </c>
      <c r="J5" s="7" t="n">
        <v>45400</v>
      </c>
      <c r="K5" s="6" t="s">
        <v>56</v>
      </c>
      <c r="L5" s="7" t="n">
        <v>45448</v>
      </c>
      <c r="M5" s="7" t="n">
        <v>46543</v>
      </c>
      <c r="N5" s="6" t="s">
        <v>46</v>
      </c>
      <c r="O5" s="6" t="s">
        <v>71</v>
      </c>
      <c r="P5" s="7" t="n">
        <v>45853</v>
      </c>
      <c r="Q5" s="6" t="n">
        <f aca="true">M5-TODAY()</f>
        <v>298</v>
      </c>
      <c r="R5" s="6" t="str">
        <f aca="true">IF(M5&lt;TODAY(),"EXPIRED",IF(M5&lt;TODAY()+90,"EXPIRING SOON","ACTIVE"))</f>
        <v>ACTIVE</v>
      </c>
    </row>
    <row r="6" customFormat="false" ht="15" hidden="false" customHeight="false" outlineLevel="0" collapsed="false">
      <c r="A6" s="6" t="s">
        <v>72</v>
      </c>
      <c r="B6" s="6" t="s">
        <v>73</v>
      </c>
      <c r="C6" s="6" t="s">
        <v>74</v>
      </c>
      <c r="D6" s="6" t="s">
        <v>75</v>
      </c>
      <c r="E6" s="6" t="s">
        <v>40</v>
      </c>
      <c r="F6" s="6" t="s">
        <v>76</v>
      </c>
      <c r="G6" s="6" t="s">
        <v>62</v>
      </c>
      <c r="H6" s="6" t="s">
        <v>63</v>
      </c>
      <c r="I6" s="6" t="s">
        <v>77</v>
      </c>
      <c r="J6" s="7" t="n">
        <v>45367</v>
      </c>
      <c r="K6" s="6" t="s">
        <v>78</v>
      </c>
      <c r="L6" s="7" t="n">
        <v>45381</v>
      </c>
      <c r="M6" s="7" t="n">
        <v>46476</v>
      </c>
      <c r="N6" s="6" t="s">
        <v>79</v>
      </c>
      <c r="O6" s="6" t="s">
        <v>80</v>
      </c>
      <c r="P6" s="7" t="n">
        <v>45886</v>
      </c>
      <c r="Q6" s="6" t="n">
        <f aca="true">M6-TODAY()</f>
        <v>231</v>
      </c>
      <c r="R6" s="6" t="str">
        <f aca="true">IF(M6&lt;TODAY(),"EXPIRED",IF(M6&lt;TODAY()+90,"EXPIRING SOON","ACTIVE"))</f>
        <v>ACTIVE</v>
      </c>
    </row>
    <row r="7" customFormat="false" ht="15" hidden="false" customHeight="false" outlineLevel="0" collapsed="false">
      <c r="A7" s="6" t="s">
        <v>81</v>
      </c>
      <c r="B7" s="6" t="s">
        <v>82</v>
      </c>
      <c r="C7" s="6" t="s">
        <v>68</v>
      </c>
      <c r="D7" s="6" t="s">
        <v>83</v>
      </c>
      <c r="E7" s="6" t="s">
        <v>84</v>
      </c>
      <c r="F7" s="6" t="s">
        <v>85</v>
      </c>
      <c r="G7" s="6" t="s">
        <v>62</v>
      </c>
      <c r="H7" s="6" t="s">
        <v>63</v>
      </c>
      <c r="I7" s="6" t="s">
        <v>70</v>
      </c>
      <c r="J7" s="7" t="n">
        <v>45273</v>
      </c>
      <c r="K7" s="6" t="s">
        <v>45</v>
      </c>
      <c r="L7" s="7" t="n">
        <v>45287</v>
      </c>
      <c r="M7" s="7" t="n">
        <v>46383</v>
      </c>
      <c r="N7" s="6" t="s">
        <v>79</v>
      </c>
      <c r="O7" s="6" t="s">
        <v>86</v>
      </c>
      <c r="P7" s="7" t="n">
        <v>45985</v>
      </c>
      <c r="Q7" s="6" t="n">
        <f aca="true">M7-TODAY()</f>
        <v>138</v>
      </c>
      <c r="R7" s="6" t="str">
        <f aca="true">IF(M7&lt;TODAY(),"EXPIRED",IF(M7&lt;TODAY()+90,"EXPIRING SOON","ACTIVE"))</f>
        <v>ACTIVE</v>
      </c>
    </row>
    <row r="8" customFormat="false" ht="15" hidden="false" customHeight="false" outlineLevel="0" collapsed="false">
      <c r="A8" s="6" t="s">
        <v>87</v>
      </c>
      <c r="B8" s="6" t="s">
        <v>88</v>
      </c>
      <c r="C8" s="6" t="s">
        <v>89</v>
      </c>
      <c r="D8" s="6" t="s">
        <v>90</v>
      </c>
      <c r="E8" s="6" t="s">
        <v>40</v>
      </c>
      <c r="F8" s="6" t="s">
        <v>91</v>
      </c>
      <c r="G8" s="6" t="s">
        <v>42</v>
      </c>
      <c r="H8" s="6" t="s">
        <v>43</v>
      </c>
      <c r="I8" s="6" t="s">
        <v>55</v>
      </c>
      <c r="J8" s="7" t="n">
        <v>45309</v>
      </c>
      <c r="K8" s="6" t="s">
        <v>45</v>
      </c>
      <c r="L8" s="7" t="n">
        <v>45369</v>
      </c>
      <c r="M8" s="7" t="n">
        <v>46464</v>
      </c>
      <c r="N8" s="6" t="s">
        <v>79</v>
      </c>
      <c r="O8" s="6" t="s">
        <v>92</v>
      </c>
      <c r="P8" s="7" t="n">
        <v>45870</v>
      </c>
      <c r="Q8" s="6" t="n">
        <f aca="true">M8-TODAY()</f>
        <v>219</v>
      </c>
      <c r="R8" s="6" t="str">
        <f aca="true">IF(M8&lt;TODAY(),"EXPIRED",IF(M8&lt;TODAY()+90,"EXPIRING SOON","ACTIVE"))</f>
        <v>ACTIVE</v>
      </c>
    </row>
    <row r="9" customFormat="false" ht="15" hidden="false" customHeight="false" outlineLevel="0" collapsed="false">
      <c r="A9" s="6" t="s">
        <v>93</v>
      </c>
      <c r="B9" s="6" t="s">
        <v>94</v>
      </c>
      <c r="C9" s="6" t="s">
        <v>95</v>
      </c>
      <c r="D9" s="6" t="s">
        <v>96</v>
      </c>
      <c r="E9" s="6" t="s">
        <v>40</v>
      </c>
      <c r="F9" s="6" t="s">
        <v>52</v>
      </c>
      <c r="G9" s="6" t="s">
        <v>97</v>
      </c>
      <c r="H9" s="6" t="s">
        <v>98</v>
      </c>
      <c r="I9" s="6" t="s">
        <v>44</v>
      </c>
      <c r="J9" s="7" t="n">
        <v>45089</v>
      </c>
      <c r="K9" s="6" t="s">
        <v>45</v>
      </c>
      <c r="L9" s="7" t="n">
        <v>45116</v>
      </c>
      <c r="M9" s="7" t="n">
        <v>46212</v>
      </c>
      <c r="N9" s="6" t="s">
        <v>46</v>
      </c>
      <c r="O9" s="6" t="s">
        <v>99</v>
      </c>
      <c r="P9" s="7" t="n">
        <v>46168</v>
      </c>
      <c r="Q9" s="6" t="n">
        <f aca="true">M9-TODAY()</f>
        <v>-33</v>
      </c>
      <c r="R9" s="6" t="str">
        <f aca="true">IF(M9&lt;TODAY(),"EXPIRED",IF(M9&lt;TODAY()+90,"EXPIRING SOON","ACTIVE"))</f>
        <v>EXPIRED</v>
      </c>
    </row>
    <row r="10" customFormat="false" ht="15" hidden="false" customHeight="false" outlineLevel="0" collapsed="false">
      <c r="A10" s="6" t="s">
        <v>100</v>
      </c>
      <c r="B10" s="6" t="s">
        <v>101</v>
      </c>
      <c r="C10" s="6" t="s">
        <v>102</v>
      </c>
      <c r="D10" s="6" t="s">
        <v>103</v>
      </c>
      <c r="E10" s="6" t="s">
        <v>40</v>
      </c>
      <c r="F10" s="6" t="s">
        <v>104</v>
      </c>
      <c r="G10" s="6" t="s">
        <v>42</v>
      </c>
      <c r="H10" s="6" t="s">
        <v>43</v>
      </c>
      <c r="I10" s="6" t="s">
        <v>55</v>
      </c>
      <c r="J10" s="7" t="n">
        <v>44995</v>
      </c>
      <c r="K10" s="6" t="s">
        <v>45</v>
      </c>
      <c r="L10" s="7" t="n">
        <v>45024</v>
      </c>
      <c r="M10" s="7" t="n">
        <v>46120</v>
      </c>
      <c r="N10" s="6" t="s">
        <v>79</v>
      </c>
      <c r="O10" s="6" t="s">
        <v>105</v>
      </c>
      <c r="P10" s="7" t="n">
        <v>46009</v>
      </c>
      <c r="Q10" s="6" t="n">
        <f aca="true">M10-TODAY()</f>
        <v>-125</v>
      </c>
      <c r="R10" s="6" t="str">
        <f aca="true">IF(M10&lt;TODAY(),"EXPIRED",IF(M10&lt;TODAY()+90,"EXPIRING SOON","ACTIVE"))</f>
        <v>EXPIRED</v>
      </c>
    </row>
    <row r="11" customFormat="false" ht="15" hidden="false" customHeight="false" outlineLevel="0" collapsed="false">
      <c r="A11" s="6" t="s">
        <v>106</v>
      </c>
      <c r="B11" s="6" t="s">
        <v>107</v>
      </c>
      <c r="C11" s="6" t="s">
        <v>108</v>
      </c>
      <c r="D11" s="6" t="s">
        <v>109</v>
      </c>
      <c r="E11" s="6" t="s">
        <v>40</v>
      </c>
      <c r="F11" s="6" t="s">
        <v>104</v>
      </c>
      <c r="G11" s="6" t="s">
        <v>97</v>
      </c>
      <c r="H11" s="6" t="s">
        <v>98</v>
      </c>
      <c r="I11" s="6" t="s">
        <v>44</v>
      </c>
      <c r="J11" s="7" t="n">
        <v>43340</v>
      </c>
      <c r="K11" s="6" t="s">
        <v>45</v>
      </c>
      <c r="L11" s="7" t="n">
        <v>43391</v>
      </c>
      <c r="M11" s="7" t="n">
        <v>44487</v>
      </c>
      <c r="N11" s="6" t="s">
        <v>79</v>
      </c>
      <c r="O11" s="6" t="s">
        <v>110</v>
      </c>
      <c r="P11" s="7" t="n">
        <v>46204</v>
      </c>
      <c r="Q11" s="6" t="n">
        <f aca="true">M11-TODAY()</f>
        <v>-1758</v>
      </c>
      <c r="R11" s="6" t="str">
        <f aca="true">IF(M11&lt;TODAY(),"EXPIRED",IF(M11&lt;TODAY()+90,"EXPIRING SOON","ACTIVE"))</f>
        <v>EXPIRED</v>
      </c>
    </row>
    <row r="12" customFormat="false" ht="15" hidden="false" customHeight="false" outlineLevel="0" collapsed="false">
      <c r="A12" s="6" t="s">
        <v>111</v>
      </c>
      <c r="B12" s="6" t="s">
        <v>112</v>
      </c>
      <c r="C12" s="6" t="s">
        <v>113</v>
      </c>
      <c r="D12" s="6" t="s">
        <v>96</v>
      </c>
      <c r="E12" s="6" t="s">
        <v>40</v>
      </c>
      <c r="F12" s="6" t="s">
        <v>52</v>
      </c>
      <c r="G12" s="6" t="s">
        <v>62</v>
      </c>
      <c r="H12" s="6" t="s">
        <v>63</v>
      </c>
      <c r="I12" s="6" t="s">
        <v>55</v>
      </c>
      <c r="J12" s="7" t="n">
        <v>45242</v>
      </c>
      <c r="K12" s="6" t="s">
        <v>45</v>
      </c>
      <c r="L12" s="7" t="n">
        <v>45276</v>
      </c>
      <c r="M12" s="7" t="n">
        <v>46372</v>
      </c>
      <c r="N12" s="6" t="s">
        <v>79</v>
      </c>
      <c r="O12" s="6" t="s">
        <v>114</v>
      </c>
      <c r="P12" s="7" t="n">
        <v>46131</v>
      </c>
      <c r="Q12" s="6" t="n">
        <f aca="true">M12-TODAY()</f>
        <v>127</v>
      </c>
      <c r="R12" s="6" t="str">
        <f aca="true">IF(M12&lt;TODAY(),"EXPIRED",IF(M12&lt;TODAY()+90,"EXPIRING SOON","ACTIVE"))</f>
        <v>ACTIVE</v>
      </c>
    </row>
    <row r="13" customFormat="false" ht="15" hidden="false" customHeight="false" outlineLevel="0" collapsed="false">
      <c r="A13" s="6" t="s">
        <v>115</v>
      </c>
      <c r="B13" s="6" t="s">
        <v>116</v>
      </c>
      <c r="C13" s="6" t="s">
        <v>102</v>
      </c>
      <c r="D13" s="6" t="s">
        <v>90</v>
      </c>
      <c r="E13" s="6" t="s">
        <v>40</v>
      </c>
      <c r="F13" s="6" t="s">
        <v>117</v>
      </c>
      <c r="G13" s="6" t="s">
        <v>62</v>
      </c>
      <c r="H13" s="6" t="s">
        <v>63</v>
      </c>
      <c r="I13" s="6" t="s">
        <v>118</v>
      </c>
      <c r="J13" s="7" t="n">
        <v>45779</v>
      </c>
      <c r="K13" s="6" t="s">
        <v>119</v>
      </c>
      <c r="L13" s="7" t="n">
        <v>45826</v>
      </c>
      <c r="M13" s="7" t="n">
        <v>46922</v>
      </c>
      <c r="N13" s="6" t="s">
        <v>79</v>
      </c>
      <c r="O13" s="6" t="s">
        <v>120</v>
      </c>
      <c r="P13" s="7" t="n">
        <v>45894</v>
      </c>
      <c r="Q13" s="6" t="n">
        <f aca="true">M13-TODAY()</f>
        <v>677</v>
      </c>
      <c r="R13" s="6" t="str">
        <f aca="true">IF(M13&lt;TODAY(),"EXPIRED",IF(M13&lt;TODAY()+90,"EXPIRING SOON","ACTIVE"))</f>
        <v>ACTIVE</v>
      </c>
    </row>
    <row r="14" customFormat="false" ht="15" hidden="false" customHeight="false" outlineLevel="0" collapsed="false">
      <c r="A14" s="6" t="s">
        <v>121</v>
      </c>
      <c r="B14" s="6" t="s">
        <v>122</v>
      </c>
      <c r="C14" s="6" t="s">
        <v>123</v>
      </c>
      <c r="D14" s="6" t="s">
        <v>96</v>
      </c>
      <c r="E14" s="6" t="s">
        <v>124</v>
      </c>
      <c r="F14" s="6" t="s">
        <v>125</v>
      </c>
      <c r="G14" s="6" t="s">
        <v>97</v>
      </c>
      <c r="H14" s="6" t="s">
        <v>98</v>
      </c>
      <c r="I14" s="6" t="s">
        <v>70</v>
      </c>
      <c r="J14" s="7" t="n">
        <v>44910</v>
      </c>
      <c r="K14" s="6" t="s">
        <v>45</v>
      </c>
      <c r="L14" s="7" t="n">
        <v>44959</v>
      </c>
      <c r="M14" s="7" t="n">
        <v>46055</v>
      </c>
      <c r="N14" s="6" t="s">
        <v>79</v>
      </c>
      <c r="O14" s="6" t="s">
        <v>126</v>
      </c>
      <c r="P14" s="7" t="n">
        <v>45948</v>
      </c>
      <c r="Q14" s="6" t="n">
        <f aca="true">M14-TODAY()</f>
        <v>-190</v>
      </c>
      <c r="R14" s="6" t="str">
        <f aca="true">IF(M14&lt;TODAY(),"EXPIRED",IF(M14&lt;TODAY()+90,"EXPIRING SOON","ACTIVE"))</f>
        <v>EXPIRED</v>
      </c>
    </row>
    <row r="15" customFormat="false" ht="15" hidden="false" customHeight="false" outlineLevel="0" collapsed="false">
      <c r="A15" s="6" t="s">
        <v>127</v>
      </c>
      <c r="B15" s="6" t="s">
        <v>128</v>
      </c>
      <c r="C15" s="6" t="s">
        <v>129</v>
      </c>
      <c r="D15" s="6" t="s">
        <v>130</v>
      </c>
      <c r="E15" s="6" t="s">
        <v>131</v>
      </c>
      <c r="F15" s="6" t="s">
        <v>132</v>
      </c>
      <c r="G15" s="6" t="s">
        <v>62</v>
      </c>
      <c r="H15" s="6" t="s">
        <v>63</v>
      </c>
      <c r="I15" s="6" t="s">
        <v>133</v>
      </c>
      <c r="J15" s="7" t="n">
        <v>44765</v>
      </c>
      <c r="K15" s="6" t="s">
        <v>78</v>
      </c>
      <c r="L15" s="7" t="n">
        <v>44818</v>
      </c>
      <c r="M15" s="7" t="n">
        <v>45914</v>
      </c>
      <c r="N15" s="6" t="s">
        <v>79</v>
      </c>
      <c r="O15" s="6" t="s">
        <v>134</v>
      </c>
      <c r="P15" s="7" t="n">
        <v>46114</v>
      </c>
      <c r="Q15" s="6" t="n">
        <f aca="true">M15-TODAY()</f>
        <v>-331</v>
      </c>
      <c r="R15" s="6" t="str">
        <f aca="true">IF(M15&lt;TODAY(),"EXPIRED",IF(M15&lt;TODAY()+90,"EXPIRING SOON","ACTIVE"))</f>
        <v>EXPIRED</v>
      </c>
    </row>
    <row r="16" customFormat="false" ht="15" hidden="false" customHeight="false" outlineLevel="0" collapsed="false">
      <c r="A16" s="6" t="s">
        <v>135</v>
      </c>
      <c r="B16" s="6" t="s">
        <v>136</v>
      </c>
      <c r="C16" s="6" t="s">
        <v>137</v>
      </c>
      <c r="D16" s="6" t="s">
        <v>138</v>
      </c>
      <c r="E16" s="6" t="s">
        <v>40</v>
      </c>
      <c r="F16" s="6" t="s">
        <v>139</v>
      </c>
      <c r="G16" s="6" t="s">
        <v>97</v>
      </c>
      <c r="H16" s="6" t="s">
        <v>98</v>
      </c>
      <c r="I16" s="6" t="s">
        <v>77</v>
      </c>
      <c r="J16" s="7" t="n">
        <v>44033</v>
      </c>
      <c r="K16" s="6" t="s">
        <v>45</v>
      </c>
      <c r="L16" s="7" t="n">
        <v>44061</v>
      </c>
      <c r="M16" s="7" t="n">
        <v>45156</v>
      </c>
      <c r="N16" s="6" t="s">
        <v>79</v>
      </c>
      <c r="O16" s="6" t="s">
        <v>140</v>
      </c>
      <c r="P16" s="7" t="n">
        <v>45898</v>
      </c>
      <c r="Q16" s="6" t="n">
        <f aca="true">M16-TODAY()</f>
        <v>-1089</v>
      </c>
      <c r="R16" s="6" t="str">
        <f aca="true">IF(M16&lt;TODAY(),"EXPIRED",IF(M16&lt;TODAY()+90,"EXPIRING SOON","ACTIVE"))</f>
        <v>EXPIRED</v>
      </c>
    </row>
    <row r="17" customFormat="false" ht="15" hidden="false" customHeight="false" outlineLevel="0" collapsed="false">
      <c r="A17" s="6" t="s">
        <v>141</v>
      </c>
      <c r="B17" s="6" t="s">
        <v>142</v>
      </c>
      <c r="C17" s="6" t="s">
        <v>143</v>
      </c>
      <c r="D17" s="6" t="s">
        <v>144</v>
      </c>
      <c r="E17" s="6" t="s">
        <v>40</v>
      </c>
      <c r="F17" s="6" t="s">
        <v>76</v>
      </c>
      <c r="G17" s="6" t="s">
        <v>145</v>
      </c>
      <c r="H17" s="6" t="s">
        <v>146</v>
      </c>
      <c r="I17" s="6" t="s">
        <v>64</v>
      </c>
      <c r="J17" s="7" t="n">
        <v>45462</v>
      </c>
      <c r="K17" s="6" t="s">
        <v>45</v>
      </c>
      <c r="L17" s="7" t="n">
        <v>45488</v>
      </c>
      <c r="M17" s="7" t="n">
        <v>46583</v>
      </c>
      <c r="N17" s="6" t="s">
        <v>46</v>
      </c>
      <c r="O17" s="6" t="s">
        <v>147</v>
      </c>
      <c r="P17" s="7" t="n">
        <v>46213</v>
      </c>
      <c r="Q17" s="6" t="n">
        <f aca="true">M17-TODAY()</f>
        <v>338</v>
      </c>
      <c r="R17" s="6" t="str">
        <f aca="true">IF(M17&lt;TODAY(),"EXPIRED",IF(M17&lt;TODAY()+90,"EXPIRING SOON","ACTIVE"))</f>
        <v>ACTIVE</v>
      </c>
    </row>
    <row r="18" customFormat="false" ht="15" hidden="false" customHeight="false" outlineLevel="0" collapsed="false">
      <c r="A18" s="6" t="s">
        <v>148</v>
      </c>
      <c r="B18" s="6" t="s">
        <v>149</v>
      </c>
      <c r="C18" s="6" t="s">
        <v>74</v>
      </c>
      <c r="D18" s="6" t="s">
        <v>150</v>
      </c>
      <c r="E18" s="6" t="s">
        <v>151</v>
      </c>
      <c r="F18" s="6" t="s">
        <v>152</v>
      </c>
      <c r="G18" s="6" t="s">
        <v>145</v>
      </c>
      <c r="H18" s="6" t="s">
        <v>146</v>
      </c>
      <c r="I18" s="6" t="s">
        <v>118</v>
      </c>
      <c r="J18" s="7" t="n">
        <v>43102</v>
      </c>
      <c r="K18" s="6" t="s">
        <v>78</v>
      </c>
      <c r="L18" s="7" t="n">
        <v>43135</v>
      </c>
      <c r="M18" s="7" t="n">
        <v>44231</v>
      </c>
      <c r="N18" s="6" t="s">
        <v>46</v>
      </c>
      <c r="O18" s="6" t="s">
        <v>153</v>
      </c>
      <c r="P18" s="7" t="n">
        <v>46128</v>
      </c>
      <c r="Q18" s="6" t="n">
        <f aca="true">M18-TODAY()</f>
        <v>-2014</v>
      </c>
      <c r="R18" s="6" t="str">
        <f aca="true">IF(M18&lt;TODAY(),"EXPIRED",IF(M18&lt;TODAY()+90,"EXPIRING SOON","ACTIVE"))</f>
        <v>EXPIRED</v>
      </c>
    </row>
    <row r="19" customFormat="false" ht="15" hidden="false" customHeight="false" outlineLevel="0" collapsed="false">
      <c r="A19" s="6" t="s">
        <v>154</v>
      </c>
      <c r="B19" s="6" t="s">
        <v>155</v>
      </c>
      <c r="C19" s="6" t="s">
        <v>68</v>
      </c>
      <c r="D19" s="6" t="s">
        <v>83</v>
      </c>
      <c r="E19" s="6" t="s">
        <v>40</v>
      </c>
      <c r="F19" s="6" t="s">
        <v>156</v>
      </c>
      <c r="G19" s="6" t="s">
        <v>42</v>
      </c>
      <c r="H19" s="6" t="s">
        <v>43</v>
      </c>
      <c r="I19" s="6" t="s">
        <v>157</v>
      </c>
      <c r="J19" s="7" t="n">
        <v>45604</v>
      </c>
      <c r="K19" s="6" t="s">
        <v>119</v>
      </c>
      <c r="L19" s="7" t="n">
        <v>45622</v>
      </c>
      <c r="M19" s="7" t="n">
        <v>46717</v>
      </c>
      <c r="N19" s="6" t="s">
        <v>79</v>
      </c>
      <c r="O19" s="6" t="s">
        <v>158</v>
      </c>
      <c r="P19" s="7" t="n">
        <v>46023</v>
      </c>
      <c r="Q19" s="6" t="n">
        <f aca="true">M19-TODAY()</f>
        <v>472</v>
      </c>
      <c r="R19" s="6" t="str">
        <f aca="true">IF(M19&lt;TODAY(),"EXPIRED",IF(M19&lt;TODAY()+90,"EXPIRING SOON","ACTIVE"))</f>
        <v>ACTIVE</v>
      </c>
    </row>
    <row r="20" customFormat="false" ht="15" hidden="false" customHeight="false" outlineLevel="0" collapsed="false">
      <c r="A20" s="6" t="s">
        <v>159</v>
      </c>
      <c r="B20" s="6" t="s">
        <v>160</v>
      </c>
      <c r="C20" s="6" t="s">
        <v>161</v>
      </c>
      <c r="D20" s="6" t="s">
        <v>69</v>
      </c>
      <c r="E20" s="6" t="s">
        <v>40</v>
      </c>
      <c r="F20" s="6" t="s">
        <v>117</v>
      </c>
      <c r="G20" s="6" t="s">
        <v>145</v>
      </c>
      <c r="H20" s="6" t="s">
        <v>146</v>
      </c>
      <c r="I20" s="6" t="s">
        <v>133</v>
      </c>
      <c r="J20" s="7" t="n">
        <v>45168</v>
      </c>
      <c r="K20" s="6" t="s">
        <v>119</v>
      </c>
      <c r="L20" s="7" t="n">
        <v>45209</v>
      </c>
      <c r="M20" s="7" t="n">
        <v>46305</v>
      </c>
      <c r="N20" s="6" t="s">
        <v>79</v>
      </c>
      <c r="O20" s="6" t="s">
        <v>162</v>
      </c>
      <c r="P20" s="7" t="n">
        <v>46007</v>
      </c>
      <c r="Q20" s="6" t="n">
        <f aca="true">M20-TODAY()</f>
        <v>60</v>
      </c>
      <c r="R20" s="6" t="str">
        <f aca="true">IF(M20&lt;TODAY(),"EXPIRED",IF(M20&lt;TODAY()+90,"EXPIRING SOON","ACTIVE"))</f>
        <v>EXPIRING SOON</v>
      </c>
    </row>
    <row r="21" customFormat="false" ht="15" hidden="false" customHeight="false" outlineLevel="0" collapsed="false">
      <c r="A21" s="6" t="s">
        <v>163</v>
      </c>
      <c r="B21" s="6" t="s">
        <v>164</v>
      </c>
      <c r="C21" s="6" t="s">
        <v>165</v>
      </c>
      <c r="D21" s="6" t="s">
        <v>166</v>
      </c>
      <c r="E21" s="6" t="s">
        <v>40</v>
      </c>
      <c r="F21" s="6" t="s">
        <v>104</v>
      </c>
      <c r="G21" s="6" t="s">
        <v>145</v>
      </c>
      <c r="H21" s="6" t="s">
        <v>146</v>
      </c>
      <c r="I21" s="6" t="s">
        <v>44</v>
      </c>
      <c r="J21" s="7" t="n">
        <v>43726</v>
      </c>
      <c r="K21" s="6" t="s">
        <v>45</v>
      </c>
      <c r="L21" s="7" t="n">
        <v>43785</v>
      </c>
      <c r="M21" s="7" t="n">
        <v>44881</v>
      </c>
      <c r="N21" s="6" t="s">
        <v>46</v>
      </c>
      <c r="O21" s="6" t="s">
        <v>167</v>
      </c>
      <c r="P21" s="7" t="n">
        <v>46203</v>
      </c>
      <c r="Q21" s="6" t="n">
        <f aca="true">M21-TODAY()</f>
        <v>-1364</v>
      </c>
      <c r="R21" s="6" t="str">
        <f aca="true">IF(M21&lt;TODAY(),"EXPIRED",IF(M21&lt;TODAY()+90,"EXPIRING SOON","ACTIVE"))</f>
        <v>EXPIRED</v>
      </c>
    </row>
    <row r="22" customFormat="false" ht="15" hidden="false" customHeight="false" outlineLevel="0" collapsed="false">
      <c r="A22" s="6" t="s">
        <v>168</v>
      </c>
      <c r="B22" s="6" t="s">
        <v>169</v>
      </c>
      <c r="C22" s="6" t="s">
        <v>170</v>
      </c>
      <c r="D22" s="6" t="s">
        <v>103</v>
      </c>
      <c r="E22" s="6" t="s">
        <v>40</v>
      </c>
      <c r="F22" s="6" t="s">
        <v>171</v>
      </c>
      <c r="G22" s="6" t="s">
        <v>42</v>
      </c>
      <c r="H22" s="6" t="s">
        <v>43</v>
      </c>
      <c r="I22" s="6" t="s">
        <v>77</v>
      </c>
      <c r="J22" s="7" t="n">
        <v>44886</v>
      </c>
      <c r="K22" s="6" t="s">
        <v>119</v>
      </c>
      <c r="L22" s="7" t="n">
        <v>44931</v>
      </c>
      <c r="M22" s="7" t="n">
        <v>46027</v>
      </c>
      <c r="N22" s="6" t="s">
        <v>79</v>
      </c>
      <c r="O22" s="6" t="s">
        <v>172</v>
      </c>
      <c r="P22" s="7" t="n">
        <v>46036</v>
      </c>
      <c r="Q22" s="6" t="n">
        <f aca="true">M22-TODAY()</f>
        <v>-218</v>
      </c>
      <c r="R22" s="6" t="str">
        <f aca="true">IF(M22&lt;TODAY(),"EXPIRED",IF(M22&lt;TODAY()+90,"EXPIRING SOON","ACTIVE"))</f>
        <v>EXPIRED</v>
      </c>
    </row>
    <row r="23" customFormat="false" ht="15" hidden="false" customHeight="false" outlineLevel="0" collapsed="false">
      <c r="A23" s="6" t="s">
        <v>173</v>
      </c>
      <c r="B23" s="6" t="s">
        <v>174</v>
      </c>
      <c r="C23" s="6" t="s">
        <v>175</v>
      </c>
      <c r="D23" s="6" t="s">
        <v>75</v>
      </c>
      <c r="E23" s="6" t="s">
        <v>40</v>
      </c>
      <c r="F23" s="6" t="s">
        <v>139</v>
      </c>
      <c r="G23" s="6" t="s">
        <v>97</v>
      </c>
      <c r="H23" s="6" t="s">
        <v>98</v>
      </c>
      <c r="I23" s="6" t="s">
        <v>77</v>
      </c>
      <c r="J23" s="7" t="n">
        <v>44653</v>
      </c>
      <c r="K23" s="6" t="s">
        <v>45</v>
      </c>
      <c r="L23" s="7" t="n">
        <v>44684</v>
      </c>
      <c r="M23" s="7" t="n">
        <v>45780</v>
      </c>
      <c r="N23" s="6" t="s">
        <v>79</v>
      </c>
      <c r="O23" s="6" t="s">
        <v>176</v>
      </c>
      <c r="P23" s="7" t="n">
        <v>46106</v>
      </c>
      <c r="Q23" s="6" t="n">
        <f aca="true">M23-TODAY()</f>
        <v>-465</v>
      </c>
      <c r="R23" s="6" t="str">
        <f aca="true">IF(M23&lt;TODAY(),"EXPIRED",IF(M23&lt;TODAY()+90,"EXPIRING SOON","ACTIVE"))</f>
        <v>EXPIRED</v>
      </c>
    </row>
    <row r="24" customFormat="false" ht="15" hidden="false" customHeight="false" outlineLevel="0" collapsed="false">
      <c r="A24" s="6" t="s">
        <v>177</v>
      </c>
      <c r="B24" s="6" t="s">
        <v>178</v>
      </c>
      <c r="C24" s="6" t="s">
        <v>89</v>
      </c>
      <c r="D24" s="6" t="s">
        <v>69</v>
      </c>
      <c r="E24" s="6" t="s">
        <v>84</v>
      </c>
      <c r="F24" s="6" t="s">
        <v>85</v>
      </c>
      <c r="G24" s="6" t="s">
        <v>62</v>
      </c>
      <c r="H24" s="6" t="s">
        <v>63</v>
      </c>
      <c r="I24" s="6" t="s">
        <v>70</v>
      </c>
      <c r="J24" s="7" t="n">
        <v>43570</v>
      </c>
      <c r="K24" s="6" t="s">
        <v>45</v>
      </c>
      <c r="L24" s="7" t="n">
        <v>43594</v>
      </c>
      <c r="M24" s="7" t="n">
        <v>44690</v>
      </c>
      <c r="N24" s="6" t="s">
        <v>79</v>
      </c>
      <c r="O24" s="6" t="s">
        <v>179</v>
      </c>
      <c r="P24" s="7" t="n">
        <v>46180</v>
      </c>
      <c r="Q24" s="6" t="n">
        <f aca="true">M24-TODAY()</f>
        <v>-1555</v>
      </c>
      <c r="R24" s="6" t="str">
        <f aca="true">IF(M24&lt;TODAY(),"EXPIRED",IF(M24&lt;TODAY()+90,"EXPIRING SOON","ACTIVE"))</f>
        <v>EXPIRED</v>
      </c>
    </row>
    <row r="25" customFormat="false" ht="15" hidden="false" customHeight="false" outlineLevel="0" collapsed="false">
      <c r="A25" s="6" t="s">
        <v>180</v>
      </c>
      <c r="B25" s="6" t="s">
        <v>181</v>
      </c>
      <c r="C25" s="6" t="s">
        <v>123</v>
      </c>
      <c r="D25" s="6" t="s">
        <v>51</v>
      </c>
      <c r="E25" s="6" t="s">
        <v>40</v>
      </c>
      <c r="F25" s="6" t="s">
        <v>182</v>
      </c>
      <c r="G25" s="6" t="s">
        <v>53</v>
      </c>
      <c r="H25" s="6" t="s">
        <v>54</v>
      </c>
      <c r="I25" s="6" t="s">
        <v>77</v>
      </c>
      <c r="J25" s="7" t="n">
        <v>44584</v>
      </c>
      <c r="K25" s="6" t="s">
        <v>45</v>
      </c>
      <c r="L25" s="7" t="n">
        <v>44638</v>
      </c>
      <c r="M25" s="7" t="n">
        <v>45734</v>
      </c>
      <c r="N25" s="6" t="s">
        <v>79</v>
      </c>
      <c r="O25" s="6" t="s">
        <v>183</v>
      </c>
      <c r="P25" s="7" t="n">
        <v>45873</v>
      </c>
      <c r="Q25" s="6" t="n">
        <f aca="true">M25-TODAY()</f>
        <v>-511</v>
      </c>
      <c r="R25" s="6" t="str">
        <f aca="true">IF(M25&lt;TODAY(),"EXPIRED",IF(M25&lt;TODAY()+90,"EXPIRING SOON","ACTIVE"))</f>
        <v>EXPIRED</v>
      </c>
    </row>
    <row r="26" customFormat="false" ht="15" hidden="false" customHeight="false" outlineLevel="0" collapsed="false">
      <c r="A26" s="6" t="s">
        <v>184</v>
      </c>
      <c r="B26" s="6" t="s">
        <v>185</v>
      </c>
      <c r="C26" s="6" t="s">
        <v>108</v>
      </c>
      <c r="D26" s="6" t="s">
        <v>186</v>
      </c>
      <c r="E26" s="6" t="s">
        <v>124</v>
      </c>
      <c r="F26" s="6" t="s">
        <v>125</v>
      </c>
      <c r="G26" s="6" t="s">
        <v>145</v>
      </c>
      <c r="H26" s="6" t="s">
        <v>146</v>
      </c>
      <c r="I26" s="6" t="s">
        <v>70</v>
      </c>
      <c r="J26" s="7" t="n">
        <v>44554</v>
      </c>
      <c r="K26" s="6" t="s">
        <v>56</v>
      </c>
      <c r="L26" s="7" t="n">
        <v>44584</v>
      </c>
      <c r="M26" s="7" t="n">
        <v>45680</v>
      </c>
      <c r="N26" s="6" t="s">
        <v>79</v>
      </c>
      <c r="O26" s="6" t="s">
        <v>187</v>
      </c>
      <c r="P26" s="7" t="n">
        <v>46092</v>
      </c>
      <c r="Q26" s="6" t="n">
        <f aca="true">M26-TODAY()</f>
        <v>-565</v>
      </c>
      <c r="R26" s="6" t="str">
        <f aca="true">IF(M26&lt;TODAY(),"EXPIRED",IF(M26&lt;TODAY()+90,"EXPIRING SOON","ACTIVE"))</f>
        <v>EXPIRED</v>
      </c>
    </row>
    <row r="27" customFormat="false" ht="15" hidden="false" customHeight="false" outlineLevel="0" collapsed="false">
      <c r="A27" s="6" t="s">
        <v>188</v>
      </c>
      <c r="B27" s="6" t="s">
        <v>189</v>
      </c>
      <c r="C27" s="6" t="s">
        <v>190</v>
      </c>
      <c r="D27" s="6" t="s">
        <v>166</v>
      </c>
      <c r="E27" s="6" t="s">
        <v>40</v>
      </c>
      <c r="F27" s="6" t="s">
        <v>171</v>
      </c>
      <c r="G27" s="6" t="s">
        <v>42</v>
      </c>
      <c r="H27" s="6" t="s">
        <v>43</v>
      </c>
      <c r="I27" s="6" t="s">
        <v>55</v>
      </c>
      <c r="J27" s="7" t="n">
        <v>45820</v>
      </c>
      <c r="K27" s="6" t="s">
        <v>45</v>
      </c>
      <c r="L27" s="7" t="n">
        <v>45871</v>
      </c>
      <c r="M27" s="7" t="n">
        <v>46967</v>
      </c>
      <c r="N27" s="6" t="s">
        <v>79</v>
      </c>
      <c r="O27" s="6" t="s">
        <v>191</v>
      </c>
      <c r="P27" s="7" t="n">
        <v>45993</v>
      </c>
      <c r="Q27" s="6" t="n">
        <f aca="true">M27-TODAY()</f>
        <v>722</v>
      </c>
      <c r="R27" s="6" t="str">
        <f aca="true">IF(M27&lt;TODAY(),"EXPIRED",IF(M27&lt;TODAY()+90,"EXPIRING SOON","ACTIVE"))</f>
        <v>ACTIVE</v>
      </c>
    </row>
    <row r="28" customFormat="false" ht="15" hidden="false" customHeight="false" outlineLevel="0" collapsed="false">
      <c r="A28" s="6" t="s">
        <v>192</v>
      </c>
      <c r="B28" s="6" t="s">
        <v>193</v>
      </c>
      <c r="C28" s="6" t="s">
        <v>170</v>
      </c>
      <c r="D28" s="6" t="s">
        <v>194</v>
      </c>
      <c r="E28" s="6" t="s">
        <v>151</v>
      </c>
      <c r="F28" s="6" t="s">
        <v>195</v>
      </c>
      <c r="G28" s="6" t="s">
        <v>42</v>
      </c>
      <c r="H28" s="6" t="s">
        <v>43</v>
      </c>
      <c r="I28" s="6" t="s">
        <v>64</v>
      </c>
      <c r="J28" s="7" t="n">
        <v>44032</v>
      </c>
      <c r="K28" s="6" t="s">
        <v>119</v>
      </c>
      <c r="L28" s="7" t="n">
        <v>44069</v>
      </c>
      <c r="M28" s="7" t="n">
        <v>45164</v>
      </c>
      <c r="N28" s="6" t="s">
        <v>79</v>
      </c>
      <c r="O28" s="6" t="s">
        <v>196</v>
      </c>
      <c r="P28" s="7" t="n">
        <v>46081</v>
      </c>
      <c r="Q28" s="6" t="n">
        <f aca="true">M28-TODAY()</f>
        <v>-1081</v>
      </c>
      <c r="R28" s="6" t="str">
        <f aca="true">IF(M28&lt;TODAY(),"EXPIRED",IF(M28&lt;TODAY()+90,"EXPIRING SOON","ACTIVE"))</f>
        <v>EXPIRED</v>
      </c>
    </row>
    <row r="29" customFormat="false" ht="15" hidden="false" customHeight="false" outlineLevel="0" collapsed="false">
      <c r="A29" s="6" t="s">
        <v>197</v>
      </c>
      <c r="B29" s="6" t="s">
        <v>198</v>
      </c>
      <c r="C29" s="6" t="s">
        <v>199</v>
      </c>
      <c r="D29" s="6" t="s">
        <v>138</v>
      </c>
      <c r="E29" s="6" t="s">
        <v>40</v>
      </c>
      <c r="F29" s="6" t="s">
        <v>52</v>
      </c>
      <c r="G29" s="6" t="s">
        <v>145</v>
      </c>
      <c r="H29" s="6" t="s">
        <v>146</v>
      </c>
      <c r="I29" s="6" t="s">
        <v>55</v>
      </c>
      <c r="J29" s="7" t="n">
        <v>45464</v>
      </c>
      <c r="K29" s="6" t="s">
        <v>78</v>
      </c>
      <c r="L29" s="7" t="n">
        <v>45518</v>
      </c>
      <c r="M29" s="7" t="n">
        <v>46613</v>
      </c>
      <c r="N29" s="6" t="s">
        <v>79</v>
      </c>
      <c r="O29" s="6" t="s">
        <v>200</v>
      </c>
      <c r="P29" s="7" t="n">
        <v>46158</v>
      </c>
      <c r="Q29" s="6" t="n">
        <f aca="true">M29-TODAY()</f>
        <v>368</v>
      </c>
      <c r="R29" s="6" t="str">
        <f aca="true">IF(M29&lt;TODAY(),"EXPIRED",IF(M29&lt;TODAY()+90,"EXPIRING SOON","ACTIVE"))</f>
        <v>ACTIVE</v>
      </c>
    </row>
    <row r="30" customFormat="false" ht="15" hidden="false" customHeight="false" outlineLevel="0" collapsed="false">
      <c r="A30" s="6" t="s">
        <v>201</v>
      </c>
      <c r="B30" s="6" t="s">
        <v>202</v>
      </c>
      <c r="C30" s="6" t="s">
        <v>60</v>
      </c>
      <c r="D30" s="6" t="s">
        <v>130</v>
      </c>
      <c r="E30" s="6" t="s">
        <v>40</v>
      </c>
      <c r="F30" s="6" t="s">
        <v>41</v>
      </c>
      <c r="G30" s="6" t="s">
        <v>42</v>
      </c>
      <c r="H30" s="6" t="s">
        <v>43</v>
      </c>
      <c r="I30" s="6" t="s">
        <v>64</v>
      </c>
      <c r="J30" s="7" t="n">
        <v>43812</v>
      </c>
      <c r="K30" s="6" t="s">
        <v>45</v>
      </c>
      <c r="L30" s="7" t="n">
        <v>43861</v>
      </c>
      <c r="M30" s="7" t="n">
        <v>44957</v>
      </c>
      <c r="N30" s="6" t="s">
        <v>79</v>
      </c>
      <c r="O30" s="6" t="s">
        <v>203</v>
      </c>
      <c r="P30" s="7" t="n">
        <v>46155</v>
      </c>
      <c r="Q30" s="6" t="n">
        <f aca="true">M30-TODAY()</f>
        <v>-1288</v>
      </c>
      <c r="R30" s="6" t="str">
        <f aca="true">IF(M30&lt;TODAY(),"EXPIRED",IF(M30&lt;TODAY()+90,"EXPIRING SOON","ACTIVE"))</f>
        <v>EXPIRED</v>
      </c>
    </row>
    <row r="31" customFormat="false" ht="15" hidden="false" customHeight="false" outlineLevel="0" collapsed="false">
      <c r="A31" s="6" t="s">
        <v>204</v>
      </c>
      <c r="B31" s="6" t="s">
        <v>205</v>
      </c>
      <c r="C31" s="6" t="s">
        <v>206</v>
      </c>
      <c r="D31" s="6" t="s">
        <v>207</v>
      </c>
      <c r="E31" s="6" t="s">
        <v>40</v>
      </c>
      <c r="F31" s="6" t="s">
        <v>208</v>
      </c>
      <c r="G31" s="6" t="s">
        <v>97</v>
      </c>
      <c r="H31" s="6" t="s">
        <v>98</v>
      </c>
      <c r="I31" s="6" t="s">
        <v>70</v>
      </c>
      <c r="J31" s="7" t="n">
        <v>45432</v>
      </c>
      <c r="K31" s="6" t="s">
        <v>119</v>
      </c>
      <c r="L31" s="7" t="n">
        <v>45464</v>
      </c>
      <c r="M31" s="7" t="n">
        <v>46559</v>
      </c>
      <c r="N31" s="6" t="s">
        <v>46</v>
      </c>
      <c r="O31" s="6" t="s">
        <v>209</v>
      </c>
      <c r="P31" s="7" t="n">
        <v>46172</v>
      </c>
      <c r="Q31" s="6" t="n">
        <f aca="true">M31-TODAY()</f>
        <v>314</v>
      </c>
      <c r="R31" s="6" t="str">
        <f aca="true">IF(M31&lt;TODAY(),"EXPIRED",IF(M31&lt;TODAY()+90,"EXPIRING SOON","ACTIVE"))</f>
        <v>ACTIVE</v>
      </c>
    </row>
    <row r="32" customFormat="false" ht="15" hidden="false" customHeight="false" outlineLevel="0" collapsed="false">
      <c r="A32" s="6" t="s">
        <v>210</v>
      </c>
      <c r="B32" s="6" t="s">
        <v>211</v>
      </c>
      <c r="C32" s="6" t="s">
        <v>212</v>
      </c>
      <c r="D32" s="6" t="s">
        <v>213</v>
      </c>
      <c r="E32" s="6" t="s">
        <v>40</v>
      </c>
      <c r="F32" s="6" t="s">
        <v>208</v>
      </c>
      <c r="G32" s="6" t="s">
        <v>145</v>
      </c>
      <c r="H32" s="6" t="s">
        <v>146</v>
      </c>
      <c r="I32" s="6" t="s">
        <v>70</v>
      </c>
      <c r="J32" s="7" t="n">
        <v>45769</v>
      </c>
      <c r="K32" s="6" t="s">
        <v>119</v>
      </c>
      <c r="L32" s="7" t="n">
        <v>45811</v>
      </c>
      <c r="M32" s="7" t="n">
        <v>46907</v>
      </c>
      <c r="N32" s="6" t="s">
        <v>46</v>
      </c>
      <c r="O32" s="6" t="s">
        <v>214</v>
      </c>
      <c r="P32" s="7" t="n">
        <v>46143</v>
      </c>
      <c r="Q32" s="6" t="n">
        <f aca="true">M32-TODAY()</f>
        <v>662</v>
      </c>
      <c r="R32" s="6" t="str">
        <f aca="true">IF(M32&lt;TODAY(),"EXPIRED",IF(M32&lt;TODAY()+90,"EXPIRING SOON","ACTIVE"))</f>
        <v>ACTIVE</v>
      </c>
    </row>
    <row r="33" customFormat="false" ht="15" hidden="false" customHeight="false" outlineLevel="0" collapsed="false">
      <c r="A33" s="6" t="s">
        <v>215</v>
      </c>
      <c r="B33" s="6" t="s">
        <v>216</v>
      </c>
      <c r="C33" s="6" t="s">
        <v>89</v>
      </c>
      <c r="D33" s="6" t="s">
        <v>144</v>
      </c>
      <c r="E33" s="6" t="s">
        <v>124</v>
      </c>
      <c r="F33" s="6" t="s">
        <v>125</v>
      </c>
      <c r="G33" s="6" t="s">
        <v>145</v>
      </c>
      <c r="H33" s="6" t="s">
        <v>146</v>
      </c>
      <c r="I33" s="6" t="s">
        <v>64</v>
      </c>
      <c r="J33" s="7" t="n">
        <v>45208</v>
      </c>
      <c r="K33" s="6" t="s">
        <v>45</v>
      </c>
      <c r="L33" s="7" t="n">
        <v>45222</v>
      </c>
      <c r="M33" s="7" t="n">
        <v>46318</v>
      </c>
      <c r="N33" s="6" t="s">
        <v>46</v>
      </c>
      <c r="O33" s="6" t="s">
        <v>217</v>
      </c>
      <c r="P33" s="7" t="n">
        <v>45999</v>
      </c>
      <c r="Q33" s="6" t="n">
        <f aca="true">M33-TODAY()</f>
        <v>73</v>
      </c>
      <c r="R33" s="6" t="str">
        <f aca="true">IF(M33&lt;TODAY(),"EXPIRED",IF(M33&lt;TODAY()+90,"EXPIRING SOON","ACTIVE"))</f>
        <v>EXPIRING SOON</v>
      </c>
    </row>
    <row r="34" customFormat="false" ht="15" hidden="false" customHeight="false" outlineLevel="0" collapsed="false">
      <c r="A34" s="6" t="s">
        <v>218</v>
      </c>
      <c r="B34" s="6" t="s">
        <v>219</v>
      </c>
      <c r="C34" s="6" t="s">
        <v>199</v>
      </c>
      <c r="D34" s="6" t="s">
        <v>220</v>
      </c>
      <c r="E34" s="6" t="s">
        <v>40</v>
      </c>
      <c r="F34" s="6" t="s">
        <v>156</v>
      </c>
      <c r="G34" s="6" t="s">
        <v>42</v>
      </c>
      <c r="H34" s="6" t="s">
        <v>43</v>
      </c>
      <c r="I34" s="6" t="s">
        <v>44</v>
      </c>
      <c r="J34" s="7" t="n">
        <v>45357</v>
      </c>
      <c r="K34" s="6" t="s">
        <v>45</v>
      </c>
      <c r="L34" s="7" t="n">
        <v>45371</v>
      </c>
      <c r="M34" s="7" t="n">
        <v>46466</v>
      </c>
      <c r="N34" s="6" t="s">
        <v>79</v>
      </c>
      <c r="O34" s="6" t="s">
        <v>221</v>
      </c>
      <c r="P34" s="7" t="n">
        <v>46027</v>
      </c>
      <c r="Q34" s="6" t="n">
        <f aca="true">M34-TODAY()</f>
        <v>221</v>
      </c>
      <c r="R34" s="6" t="str">
        <f aca="true">IF(M34&lt;TODAY(),"EXPIRED",IF(M34&lt;TODAY()+90,"EXPIRING SOON","ACTIVE"))</f>
        <v>ACTIVE</v>
      </c>
    </row>
    <row r="35" customFormat="false" ht="15" hidden="false" customHeight="false" outlineLevel="0" collapsed="false">
      <c r="A35" s="6" t="s">
        <v>222</v>
      </c>
      <c r="B35" s="6" t="s">
        <v>223</v>
      </c>
      <c r="C35" s="6" t="s">
        <v>206</v>
      </c>
      <c r="D35" s="6" t="s">
        <v>224</v>
      </c>
      <c r="E35" s="6" t="s">
        <v>40</v>
      </c>
      <c r="F35" s="6" t="s">
        <v>41</v>
      </c>
      <c r="G35" s="6" t="s">
        <v>97</v>
      </c>
      <c r="H35" s="6" t="s">
        <v>98</v>
      </c>
      <c r="I35" s="6" t="s">
        <v>55</v>
      </c>
      <c r="J35" s="7" t="n">
        <v>45180</v>
      </c>
      <c r="K35" s="6" t="s">
        <v>78</v>
      </c>
      <c r="L35" s="7" t="n">
        <v>45211</v>
      </c>
      <c r="M35" s="7" t="n">
        <v>46307</v>
      </c>
      <c r="N35" s="6" t="s">
        <v>79</v>
      </c>
      <c r="O35" s="6" t="s">
        <v>225</v>
      </c>
      <c r="P35" s="7" t="n">
        <v>46091</v>
      </c>
      <c r="Q35" s="6" t="n">
        <f aca="true">M35-TODAY()</f>
        <v>62</v>
      </c>
      <c r="R35" s="6" t="str">
        <f aca="true">IF(M35&lt;TODAY(),"EXPIRED",IF(M35&lt;TODAY()+90,"EXPIRING SOON","ACTIVE"))</f>
        <v>EXPIRING SOON</v>
      </c>
    </row>
    <row r="36" customFormat="false" ht="15" hidden="false" customHeight="false" outlineLevel="0" collapsed="false">
      <c r="A36" s="6" t="s">
        <v>226</v>
      </c>
      <c r="B36" s="6" t="s">
        <v>227</v>
      </c>
      <c r="C36" s="6" t="s">
        <v>74</v>
      </c>
      <c r="D36" s="6" t="s">
        <v>138</v>
      </c>
      <c r="E36" s="6" t="s">
        <v>77</v>
      </c>
      <c r="F36" s="6" t="s">
        <v>228</v>
      </c>
      <c r="G36" s="6" t="s">
        <v>145</v>
      </c>
      <c r="H36" s="6" t="s">
        <v>146</v>
      </c>
      <c r="I36" s="6" t="s">
        <v>70</v>
      </c>
      <c r="J36" s="7" t="n">
        <v>43618</v>
      </c>
      <c r="K36" s="6" t="s">
        <v>78</v>
      </c>
      <c r="L36" s="7" t="n">
        <v>43664</v>
      </c>
      <c r="M36" s="7" t="n">
        <v>44760</v>
      </c>
      <c r="N36" s="6" t="s">
        <v>79</v>
      </c>
      <c r="O36" s="6" t="s">
        <v>229</v>
      </c>
      <c r="P36" s="7" t="n">
        <v>46066</v>
      </c>
      <c r="Q36" s="6" t="n">
        <f aca="true">M36-TODAY()</f>
        <v>-1485</v>
      </c>
      <c r="R36" s="6" t="str">
        <f aca="true">IF(M36&lt;TODAY(),"EXPIRED",IF(M36&lt;TODAY()+90,"EXPIRING SOON","ACTIVE"))</f>
        <v>EXPIRED</v>
      </c>
    </row>
    <row r="37" customFormat="false" ht="15" hidden="false" customHeight="false" outlineLevel="0" collapsed="false">
      <c r="A37" s="6" t="s">
        <v>230</v>
      </c>
      <c r="B37" s="6" t="s">
        <v>231</v>
      </c>
      <c r="C37" s="6" t="s">
        <v>108</v>
      </c>
      <c r="D37" s="6" t="s">
        <v>144</v>
      </c>
      <c r="E37" s="6" t="s">
        <v>40</v>
      </c>
      <c r="F37" s="6" t="s">
        <v>117</v>
      </c>
      <c r="G37" s="6" t="s">
        <v>62</v>
      </c>
      <c r="H37" s="6" t="s">
        <v>63</v>
      </c>
      <c r="I37" s="6" t="s">
        <v>157</v>
      </c>
      <c r="J37" s="7" t="n">
        <v>44062</v>
      </c>
      <c r="K37" s="6" t="s">
        <v>45</v>
      </c>
      <c r="L37" s="7" t="n">
        <v>44116</v>
      </c>
      <c r="M37" s="7" t="n">
        <v>45211</v>
      </c>
      <c r="N37" s="6" t="s">
        <v>79</v>
      </c>
      <c r="O37" s="6" t="s">
        <v>232</v>
      </c>
      <c r="P37" s="7" t="n">
        <v>46119</v>
      </c>
      <c r="Q37" s="6" t="n">
        <f aca="true">M37-TODAY()</f>
        <v>-1034</v>
      </c>
      <c r="R37" s="6" t="str">
        <f aca="true">IF(M37&lt;TODAY(),"EXPIRED",IF(M37&lt;TODAY()+90,"EXPIRING SOON","ACTIVE"))</f>
        <v>EXPIRED</v>
      </c>
    </row>
    <row r="38" customFormat="false" ht="15" hidden="false" customHeight="false" outlineLevel="0" collapsed="false">
      <c r="A38" s="6" t="s">
        <v>233</v>
      </c>
      <c r="B38" s="6" t="s">
        <v>234</v>
      </c>
      <c r="C38" s="6" t="s">
        <v>235</v>
      </c>
      <c r="D38" s="6" t="s">
        <v>236</v>
      </c>
      <c r="E38" s="6" t="s">
        <v>151</v>
      </c>
      <c r="F38" s="6" t="s">
        <v>152</v>
      </c>
      <c r="G38" s="6" t="s">
        <v>62</v>
      </c>
      <c r="H38" s="6" t="s">
        <v>63</v>
      </c>
      <c r="I38" s="6" t="s">
        <v>64</v>
      </c>
      <c r="J38" s="7" t="n">
        <v>44667</v>
      </c>
      <c r="K38" s="6" t="s">
        <v>45</v>
      </c>
      <c r="L38" s="7" t="n">
        <v>44720</v>
      </c>
      <c r="M38" s="7" t="n">
        <v>45816</v>
      </c>
      <c r="N38" s="6" t="s">
        <v>79</v>
      </c>
      <c r="O38" s="6" t="s">
        <v>237</v>
      </c>
      <c r="P38" s="7" t="n">
        <v>45981</v>
      </c>
      <c r="Q38" s="6" t="n">
        <f aca="true">M38-TODAY()</f>
        <v>-429</v>
      </c>
      <c r="R38" s="6" t="str">
        <f aca="true">IF(M38&lt;TODAY(),"EXPIRED",IF(M38&lt;TODAY()+90,"EXPIRING SOON","ACTIVE"))</f>
        <v>EXPIRED</v>
      </c>
    </row>
    <row r="39" customFormat="false" ht="15" hidden="false" customHeight="false" outlineLevel="0" collapsed="false">
      <c r="A39" s="6" t="s">
        <v>238</v>
      </c>
      <c r="B39" s="6" t="s">
        <v>239</v>
      </c>
      <c r="C39" s="6" t="s">
        <v>240</v>
      </c>
      <c r="D39" s="6" t="s">
        <v>241</v>
      </c>
      <c r="E39" s="6" t="s">
        <v>77</v>
      </c>
      <c r="F39" s="6" t="s">
        <v>228</v>
      </c>
      <c r="G39" s="6" t="s">
        <v>53</v>
      </c>
      <c r="H39" s="6" t="s">
        <v>54</v>
      </c>
      <c r="I39" s="6" t="s">
        <v>77</v>
      </c>
      <c r="J39" s="7" t="n">
        <v>44663</v>
      </c>
      <c r="K39" s="6" t="s">
        <v>119</v>
      </c>
      <c r="L39" s="7" t="n">
        <v>44713</v>
      </c>
      <c r="M39" s="7" t="n">
        <v>45809</v>
      </c>
      <c r="N39" s="6" t="s">
        <v>79</v>
      </c>
      <c r="O39" s="6" t="s">
        <v>242</v>
      </c>
      <c r="P39" s="7" t="n">
        <v>45941</v>
      </c>
      <c r="Q39" s="6" t="n">
        <f aca="true">M39-TODAY()</f>
        <v>-436</v>
      </c>
      <c r="R39" s="6" t="str">
        <f aca="true">IF(M39&lt;TODAY(),"EXPIRED",IF(M39&lt;TODAY()+90,"EXPIRING SOON","ACTIVE"))</f>
        <v>EXPIRED</v>
      </c>
    </row>
    <row r="40" customFormat="false" ht="15" hidden="false" customHeight="false" outlineLevel="0" collapsed="false">
      <c r="A40" s="6" t="s">
        <v>243</v>
      </c>
      <c r="B40" s="6" t="s">
        <v>244</v>
      </c>
      <c r="C40" s="6" t="s">
        <v>50</v>
      </c>
      <c r="D40" s="6" t="s">
        <v>224</v>
      </c>
      <c r="E40" s="6" t="s">
        <v>40</v>
      </c>
      <c r="F40" s="6" t="s">
        <v>208</v>
      </c>
      <c r="G40" s="6" t="s">
        <v>145</v>
      </c>
      <c r="H40" s="6" t="s">
        <v>146</v>
      </c>
      <c r="I40" s="6" t="s">
        <v>118</v>
      </c>
      <c r="J40" s="7" t="n">
        <v>45474</v>
      </c>
      <c r="K40" s="6" t="s">
        <v>45</v>
      </c>
      <c r="L40" s="7" t="n">
        <v>45511</v>
      </c>
      <c r="M40" s="7" t="n">
        <v>46606</v>
      </c>
      <c r="N40" s="6" t="s">
        <v>79</v>
      </c>
      <c r="O40" s="6" t="s">
        <v>245</v>
      </c>
      <c r="P40" s="7" t="n">
        <v>46189</v>
      </c>
      <c r="Q40" s="6" t="n">
        <f aca="true">M40-TODAY()</f>
        <v>361</v>
      </c>
      <c r="R40" s="6" t="str">
        <f aca="true">IF(M40&lt;TODAY(),"EXPIRED",IF(M40&lt;TODAY()+90,"EXPIRING SOON","ACTIVE"))</f>
        <v>ACTIVE</v>
      </c>
    </row>
    <row r="41" customFormat="false" ht="15" hidden="false" customHeight="false" outlineLevel="0" collapsed="false">
      <c r="A41" s="6" t="s">
        <v>246</v>
      </c>
      <c r="B41" s="6" t="s">
        <v>247</v>
      </c>
      <c r="C41" s="6" t="s">
        <v>248</v>
      </c>
      <c r="D41" s="6" t="s">
        <v>249</v>
      </c>
      <c r="E41" s="6" t="s">
        <v>84</v>
      </c>
      <c r="F41" s="6" t="s">
        <v>85</v>
      </c>
      <c r="G41" s="6" t="s">
        <v>145</v>
      </c>
      <c r="H41" s="6" t="s">
        <v>146</v>
      </c>
      <c r="I41" s="6" t="s">
        <v>64</v>
      </c>
      <c r="J41" s="7" t="n">
        <v>44184</v>
      </c>
      <c r="K41" s="6" t="s">
        <v>119</v>
      </c>
      <c r="L41" s="7" t="n">
        <v>44232</v>
      </c>
      <c r="M41" s="7" t="n">
        <v>45327</v>
      </c>
      <c r="N41" s="6" t="s">
        <v>79</v>
      </c>
      <c r="O41" s="6" t="s">
        <v>250</v>
      </c>
      <c r="P41" s="7" t="n">
        <v>46003</v>
      </c>
      <c r="Q41" s="6" t="n">
        <f aca="true">M41-TODAY()</f>
        <v>-918</v>
      </c>
      <c r="R41" s="6" t="str">
        <f aca="true">IF(M41&lt;TODAY(),"EXPIRED",IF(M41&lt;TODAY()+90,"EXPIRING SOON","ACTIVE"))</f>
        <v>EXPIRED</v>
      </c>
    </row>
    <row r="42" customFormat="false" ht="15" hidden="false" customHeight="false" outlineLevel="0" collapsed="false">
      <c r="A42" s="6" t="s">
        <v>251</v>
      </c>
      <c r="B42" s="6" t="s">
        <v>252</v>
      </c>
      <c r="C42" s="6" t="s">
        <v>253</v>
      </c>
      <c r="D42" s="6" t="s">
        <v>254</v>
      </c>
      <c r="E42" s="6" t="s">
        <v>151</v>
      </c>
      <c r="F42" s="6" t="s">
        <v>195</v>
      </c>
      <c r="G42" s="6" t="s">
        <v>53</v>
      </c>
      <c r="H42" s="6" t="s">
        <v>54</v>
      </c>
      <c r="I42" s="6" t="s">
        <v>55</v>
      </c>
      <c r="J42" s="7" t="n">
        <v>43286</v>
      </c>
      <c r="K42" s="6" t="s">
        <v>45</v>
      </c>
      <c r="L42" s="7" t="n">
        <v>43302</v>
      </c>
      <c r="M42" s="7" t="n">
        <v>44398</v>
      </c>
      <c r="N42" s="6" t="s">
        <v>79</v>
      </c>
      <c r="O42" s="6" t="s">
        <v>255</v>
      </c>
      <c r="P42" s="7" t="n">
        <v>45983</v>
      </c>
      <c r="Q42" s="6" t="n">
        <f aca="true">M42-TODAY()</f>
        <v>-1847</v>
      </c>
      <c r="R42" s="6" t="str">
        <f aca="true">IF(M42&lt;TODAY(),"EXPIRED",IF(M42&lt;TODAY()+90,"EXPIRING SOON","ACTIVE"))</f>
        <v>EXPIRED</v>
      </c>
    </row>
    <row r="43" customFormat="false" ht="15" hidden="false" customHeight="false" outlineLevel="0" collapsed="false">
      <c r="A43" s="6" t="s">
        <v>256</v>
      </c>
      <c r="B43" s="6" t="s">
        <v>257</v>
      </c>
      <c r="C43" s="6" t="s">
        <v>258</v>
      </c>
      <c r="D43" s="6" t="s">
        <v>259</v>
      </c>
      <c r="E43" s="6" t="s">
        <v>131</v>
      </c>
      <c r="F43" s="6" t="s">
        <v>132</v>
      </c>
      <c r="G43" s="6" t="s">
        <v>62</v>
      </c>
      <c r="H43" s="6" t="s">
        <v>63</v>
      </c>
      <c r="I43" s="6" t="s">
        <v>133</v>
      </c>
      <c r="J43" s="7" t="n">
        <v>45742</v>
      </c>
      <c r="K43" s="6" t="s">
        <v>45</v>
      </c>
      <c r="L43" s="7" t="n">
        <v>45778</v>
      </c>
      <c r="M43" s="7" t="n">
        <v>46874</v>
      </c>
      <c r="N43" s="6" t="s">
        <v>79</v>
      </c>
      <c r="O43" s="6" t="s">
        <v>260</v>
      </c>
      <c r="P43" s="7" t="n">
        <v>46032</v>
      </c>
      <c r="Q43" s="6" t="n">
        <f aca="true">M43-TODAY()</f>
        <v>629</v>
      </c>
      <c r="R43" s="6" t="str">
        <f aca="true">IF(M43&lt;TODAY(),"EXPIRED",IF(M43&lt;TODAY()+90,"EXPIRING SOON","ACTIVE"))</f>
        <v>ACTIVE</v>
      </c>
    </row>
  </sheetData>
  <conditionalFormatting sqref="R2:R43">
    <cfRule type="expression" priority="2" aboveAverage="0" equalAverage="0" bottom="0" percent="0" rank="0" text="" dxfId="6">
      <formula>$R2="EXPIRED"</formula>
    </cfRule>
    <cfRule type="expression" priority="3" aboveAverage="0" equalAverage="0" bottom="0" percent="0" rank="0" text="" dxfId="7">
      <formula>$R2="EXPIRING SOON"</formula>
    </cfRule>
    <cfRule type="expression" priority="4" aboveAverage="0" equalAverage="0" bottom="0" percent="0" rank="0" text="" dxfId="8">
      <formula>$R2="ACTIVE"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30" hidden="false" customHeight="true" outlineLevel="0" collapsed="false">
      <c r="A1" s="5" t="s">
        <v>18</v>
      </c>
      <c r="B1" s="5" t="s">
        <v>261</v>
      </c>
      <c r="C1" s="5" t="s">
        <v>262</v>
      </c>
      <c r="D1" s="5" t="s">
        <v>263</v>
      </c>
      <c r="E1" s="5" t="s">
        <v>264</v>
      </c>
      <c r="F1" s="5" t="s">
        <v>265</v>
      </c>
      <c r="G1" s="5" t="s">
        <v>266</v>
      </c>
      <c r="H1" s="5" t="s">
        <v>267</v>
      </c>
    </row>
    <row r="2" customFormat="false" ht="15" hidden="false" customHeight="false" outlineLevel="0" collapsed="false">
      <c r="A2" s="6" t="s">
        <v>36</v>
      </c>
      <c r="B2" s="6" t="s">
        <v>268</v>
      </c>
      <c r="C2" s="6" t="s">
        <v>269</v>
      </c>
      <c r="D2" s="6" t="s">
        <v>44</v>
      </c>
      <c r="E2" s="7" t="n">
        <v>40423</v>
      </c>
      <c r="F2" s="7" t="n">
        <v>46120</v>
      </c>
      <c r="G2" s="6" t="s">
        <v>270</v>
      </c>
      <c r="H2" s="6" t="n">
        <f aca="true">F2-TODAY()</f>
        <v>-125</v>
      </c>
    </row>
    <row r="3" customFormat="false" ht="15" hidden="false" customHeight="false" outlineLevel="0" collapsed="false">
      <c r="A3" s="6" t="s">
        <v>48</v>
      </c>
      <c r="B3" s="6" t="s">
        <v>268</v>
      </c>
      <c r="C3" s="6" t="s">
        <v>271</v>
      </c>
      <c r="D3" s="6" t="s">
        <v>55</v>
      </c>
      <c r="E3" s="7" t="n">
        <v>41201</v>
      </c>
      <c r="F3" s="7" t="n">
        <v>46436</v>
      </c>
      <c r="G3" s="6" t="s">
        <v>45</v>
      </c>
      <c r="H3" s="6" t="n">
        <f aca="true">F3-TODAY()</f>
        <v>191</v>
      </c>
    </row>
    <row r="4" customFormat="false" ht="15" hidden="false" customHeight="false" outlineLevel="0" collapsed="false">
      <c r="A4" s="6" t="s">
        <v>58</v>
      </c>
      <c r="B4" s="6" t="s">
        <v>268</v>
      </c>
      <c r="C4" s="6" t="s">
        <v>272</v>
      </c>
      <c r="D4" s="6" t="s">
        <v>64</v>
      </c>
      <c r="E4" s="7" t="n">
        <v>42390</v>
      </c>
      <c r="F4" s="7" t="n">
        <v>46865</v>
      </c>
      <c r="G4" s="6" t="s">
        <v>45</v>
      </c>
      <c r="H4" s="6" t="n">
        <f aca="true">F4-TODAY()</f>
        <v>620</v>
      </c>
    </row>
    <row r="5" customFormat="false" ht="15" hidden="false" customHeight="false" outlineLevel="0" collapsed="false">
      <c r="A5" s="6" t="s">
        <v>66</v>
      </c>
      <c r="B5" s="6" t="s">
        <v>268</v>
      </c>
      <c r="C5" s="6" t="s">
        <v>273</v>
      </c>
      <c r="D5" s="6" t="s">
        <v>70</v>
      </c>
      <c r="E5" s="7" t="n">
        <v>43450</v>
      </c>
      <c r="F5" s="7" t="n">
        <v>46482</v>
      </c>
      <c r="G5" s="6" t="s">
        <v>45</v>
      </c>
      <c r="H5" s="6" t="n">
        <f aca="true">F5-TODAY()</f>
        <v>237</v>
      </c>
    </row>
    <row r="6" customFormat="false" ht="15" hidden="false" customHeight="false" outlineLevel="0" collapsed="false">
      <c r="A6" s="6" t="s">
        <v>72</v>
      </c>
      <c r="B6" s="6" t="s">
        <v>268</v>
      </c>
      <c r="C6" s="6" t="s">
        <v>274</v>
      </c>
      <c r="D6" s="6" t="s">
        <v>77</v>
      </c>
      <c r="E6" s="7" t="n">
        <v>42965</v>
      </c>
      <c r="F6" s="7" t="n">
        <v>46156</v>
      </c>
      <c r="G6" s="6" t="s">
        <v>270</v>
      </c>
      <c r="H6" s="6" t="n">
        <f aca="true">F6-TODAY()</f>
        <v>-89</v>
      </c>
    </row>
    <row r="7" customFormat="false" ht="15" hidden="false" customHeight="false" outlineLevel="0" collapsed="false">
      <c r="A7" s="6" t="s">
        <v>81</v>
      </c>
      <c r="B7" s="6" t="s">
        <v>275</v>
      </c>
      <c r="C7" s="6" t="s">
        <v>276</v>
      </c>
      <c r="D7" s="6" t="s">
        <v>70</v>
      </c>
      <c r="E7" s="7" t="n">
        <v>43152</v>
      </c>
      <c r="F7" s="7" t="n">
        <v>46479</v>
      </c>
      <c r="G7" s="6" t="s">
        <v>45</v>
      </c>
      <c r="H7" s="6" t="n">
        <f aca="true">F7-TODAY()</f>
        <v>234</v>
      </c>
    </row>
    <row r="8" customFormat="false" ht="15" hidden="false" customHeight="false" outlineLevel="0" collapsed="false">
      <c r="A8" s="6" t="s">
        <v>87</v>
      </c>
      <c r="B8" s="6" t="s">
        <v>268</v>
      </c>
      <c r="C8" s="6" t="s">
        <v>277</v>
      </c>
      <c r="D8" s="6" t="s">
        <v>55</v>
      </c>
      <c r="E8" s="7" t="n">
        <v>43238</v>
      </c>
      <c r="F8" s="7" t="n">
        <v>46645</v>
      </c>
      <c r="G8" s="6" t="s">
        <v>45</v>
      </c>
      <c r="H8" s="6" t="n">
        <f aca="true">F8-TODAY()</f>
        <v>400</v>
      </c>
    </row>
    <row r="9" customFormat="false" ht="15" hidden="false" customHeight="false" outlineLevel="0" collapsed="false">
      <c r="A9" s="6" t="s">
        <v>93</v>
      </c>
      <c r="B9" s="6" t="s">
        <v>268</v>
      </c>
      <c r="C9" s="6" t="s">
        <v>278</v>
      </c>
      <c r="D9" s="6" t="s">
        <v>44</v>
      </c>
      <c r="E9" s="7" t="n">
        <v>44053</v>
      </c>
      <c r="F9" s="7" t="n">
        <v>46481</v>
      </c>
      <c r="G9" s="6" t="s">
        <v>45</v>
      </c>
      <c r="H9" s="6" t="n">
        <f aca="true">F9-TODAY()</f>
        <v>236</v>
      </c>
    </row>
    <row r="10" customFormat="false" ht="15" hidden="false" customHeight="false" outlineLevel="0" collapsed="false">
      <c r="A10" s="6" t="s">
        <v>100</v>
      </c>
      <c r="B10" s="6" t="s">
        <v>268</v>
      </c>
      <c r="C10" s="6" t="s">
        <v>279</v>
      </c>
      <c r="D10" s="6" t="s">
        <v>55</v>
      </c>
      <c r="E10" s="7" t="n">
        <v>44607</v>
      </c>
      <c r="F10" s="7" t="n">
        <v>46078</v>
      </c>
      <c r="G10" s="6" t="s">
        <v>270</v>
      </c>
      <c r="H10" s="6" t="n">
        <f aca="true">F10-TODAY()</f>
        <v>-167</v>
      </c>
    </row>
    <row r="11" customFormat="false" ht="15" hidden="false" customHeight="false" outlineLevel="0" collapsed="false">
      <c r="A11" s="6" t="s">
        <v>106</v>
      </c>
      <c r="B11" s="6" t="s">
        <v>268</v>
      </c>
      <c r="C11" s="6" t="s">
        <v>280</v>
      </c>
      <c r="D11" s="6" t="s">
        <v>44</v>
      </c>
      <c r="E11" s="7" t="n">
        <v>40589</v>
      </c>
      <c r="F11" s="7" t="n">
        <v>46982</v>
      </c>
      <c r="G11" s="6" t="s">
        <v>45</v>
      </c>
      <c r="H11" s="6" t="n">
        <f aca="true">F11-TODAY()</f>
        <v>737</v>
      </c>
    </row>
    <row r="12" customFormat="false" ht="15" hidden="false" customHeight="false" outlineLevel="0" collapsed="false">
      <c r="A12" s="6" t="s">
        <v>111</v>
      </c>
      <c r="B12" s="6" t="s">
        <v>268</v>
      </c>
      <c r="C12" s="6" t="s">
        <v>281</v>
      </c>
      <c r="D12" s="6" t="s">
        <v>55</v>
      </c>
      <c r="E12" s="7" t="n">
        <v>42354</v>
      </c>
      <c r="F12" s="7" t="n">
        <v>46468</v>
      </c>
      <c r="G12" s="6" t="s">
        <v>45</v>
      </c>
      <c r="H12" s="6" t="n">
        <f aca="true">F12-TODAY()</f>
        <v>223</v>
      </c>
    </row>
    <row r="13" customFormat="false" ht="15" hidden="false" customHeight="false" outlineLevel="0" collapsed="false">
      <c r="A13" s="6" t="s">
        <v>115</v>
      </c>
      <c r="B13" s="6" t="s">
        <v>268</v>
      </c>
      <c r="C13" s="6" t="s">
        <v>282</v>
      </c>
      <c r="D13" s="6" t="s">
        <v>118</v>
      </c>
      <c r="E13" s="7" t="n">
        <v>41027</v>
      </c>
      <c r="F13" s="7" t="n">
        <v>46146</v>
      </c>
      <c r="G13" s="6" t="s">
        <v>270</v>
      </c>
      <c r="H13" s="6" t="n">
        <f aca="true">F13-TODAY()</f>
        <v>-99</v>
      </c>
    </row>
    <row r="14" customFormat="false" ht="15" hidden="false" customHeight="false" outlineLevel="0" collapsed="false">
      <c r="A14" s="6" t="s">
        <v>121</v>
      </c>
      <c r="B14" s="6" t="s">
        <v>283</v>
      </c>
      <c r="C14" s="6" t="s">
        <v>284</v>
      </c>
      <c r="D14" s="6" t="s">
        <v>70</v>
      </c>
      <c r="E14" s="7" t="n">
        <v>40795</v>
      </c>
      <c r="F14" s="7" t="n">
        <v>46267</v>
      </c>
      <c r="G14" s="6" t="s">
        <v>45</v>
      </c>
      <c r="H14" s="6" t="n">
        <f aca="true">F14-TODAY()</f>
        <v>22</v>
      </c>
    </row>
    <row r="15" customFormat="false" ht="15" hidden="false" customHeight="false" outlineLevel="0" collapsed="false">
      <c r="A15" s="6" t="s">
        <v>127</v>
      </c>
      <c r="B15" s="6" t="s">
        <v>285</v>
      </c>
      <c r="C15" s="6" t="s">
        <v>286</v>
      </c>
      <c r="D15" s="6" t="s">
        <v>133</v>
      </c>
      <c r="E15" s="7" t="n">
        <v>41629</v>
      </c>
      <c r="F15" s="7" t="n">
        <v>46393</v>
      </c>
      <c r="G15" s="6" t="s">
        <v>45</v>
      </c>
      <c r="H15" s="6" t="n">
        <f aca="true">F15-TODAY()</f>
        <v>148</v>
      </c>
    </row>
    <row r="16" customFormat="false" ht="15" hidden="false" customHeight="false" outlineLevel="0" collapsed="false">
      <c r="A16" s="6" t="s">
        <v>135</v>
      </c>
      <c r="B16" s="6" t="s">
        <v>268</v>
      </c>
      <c r="C16" s="6" t="s">
        <v>287</v>
      </c>
      <c r="D16" s="6" t="s">
        <v>77</v>
      </c>
      <c r="E16" s="7" t="n">
        <v>42868</v>
      </c>
      <c r="F16" s="7" t="n">
        <v>46443</v>
      </c>
      <c r="G16" s="6" t="s">
        <v>45</v>
      </c>
      <c r="H16" s="6" t="n">
        <f aca="true">F16-TODAY()</f>
        <v>198</v>
      </c>
    </row>
    <row r="17" customFormat="false" ht="15" hidden="false" customHeight="false" outlineLevel="0" collapsed="false">
      <c r="A17" s="6" t="s">
        <v>141</v>
      </c>
      <c r="B17" s="6" t="s">
        <v>268</v>
      </c>
      <c r="C17" s="6" t="s">
        <v>288</v>
      </c>
      <c r="D17" s="6" t="s">
        <v>64</v>
      </c>
      <c r="E17" s="7" t="n">
        <v>44438</v>
      </c>
      <c r="F17" s="7" t="n">
        <v>47081</v>
      </c>
      <c r="G17" s="6" t="s">
        <v>45</v>
      </c>
      <c r="H17" s="6" t="n">
        <f aca="true">F17-TODAY()</f>
        <v>836</v>
      </c>
    </row>
    <row r="18" customFormat="false" ht="15" hidden="false" customHeight="false" outlineLevel="0" collapsed="false">
      <c r="A18" s="6" t="s">
        <v>148</v>
      </c>
      <c r="B18" s="6" t="s">
        <v>289</v>
      </c>
      <c r="C18" s="6" t="s">
        <v>290</v>
      </c>
      <c r="D18" s="6" t="s">
        <v>118</v>
      </c>
      <c r="E18" s="7" t="n">
        <v>42818</v>
      </c>
      <c r="F18" s="7" t="n">
        <v>46614</v>
      </c>
      <c r="G18" s="6" t="s">
        <v>45</v>
      </c>
      <c r="H18" s="6" t="n">
        <f aca="true">F18-TODAY()</f>
        <v>369</v>
      </c>
    </row>
    <row r="19" customFormat="false" ht="15" hidden="false" customHeight="false" outlineLevel="0" collapsed="false">
      <c r="A19" s="6" t="s">
        <v>154</v>
      </c>
      <c r="B19" s="6" t="s">
        <v>268</v>
      </c>
      <c r="C19" s="6" t="s">
        <v>291</v>
      </c>
      <c r="D19" s="6" t="s">
        <v>157</v>
      </c>
      <c r="E19" s="7" t="n">
        <v>43324</v>
      </c>
      <c r="F19" s="7" t="n">
        <v>46576</v>
      </c>
      <c r="G19" s="6" t="s">
        <v>45</v>
      </c>
      <c r="H19" s="6" t="n">
        <f aca="true">F19-TODAY()</f>
        <v>331</v>
      </c>
    </row>
    <row r="20" customFormat="false" ht="15" hidden="false" customHeight="false" outlineLevel="0" collapsed="false">
      <c r="A20" s="6" t="s">
        <v>159</v>
      </c>
      <c r="B20" s="6" t="s">
        <v>268</v>
      </c>
      <c r="C20" s="6" t="s">
        <v>292</v>
      </c>
      <c r="D20" s="6" t="s">
        <v>133</v>
      </c>
      <c r="E20" s="7" t="n">
        <v>44067</v>
      </c>
      <c r="F20" s="7" t="n">
        <v>46532</v>
      </c>
      <c r="G20" s="6" t="s">
        <v>45</v>
      </c>
      <c r="H20" s="6" t="n">
        <f aca="true">F20-TODAY()</f>
        <v>287</v>
      </c>
    </row>
    <row r="21" customFormat="false" ht="15" hidden="false" customHeight="false" outlineLevel="0" collapsed="false">
      <c r="A21" s="6" t="s">
        <v>163</v>
      </c>
      <c r="B21" s="6" t="s">
        <v>268</v>
      </c>
      <c r="C21" s="6" t="s">
        <v>293</v>
      </c>
      <c r="D21" s="6" t="s">
        <v>44</v>
      </c>
      <c r="E21" s="7" t="n">
        <v>42889</v>
      </c>
      <c r="F21" s="7" t="n">
        <v>46979</v>
      </c>
      <c r="G21" s="6" t="s">
        <v>45</v>
      </c>
      <c r="H21" s="6" t="n">
        <f aca="true">F21-TODAY()</f>
        <v>734</v>
      </c>
    </row>
    <row r="22" customFormat="false" ht="15" hidden="false" customHeight="false" outlineLevel="0" collapsed="false">
      <c r="A22" s="6" t="s">
        <v>168</v>
      </c>
      <c r="B22" s="6" t="s">
        <v>268</v>
      </c>
      <c r="C22" s="6" t="s">
        <v>294</v>
      </c>
      <c r="D22" s="6" t="s">
        <v>77</v>
      </c>
      <c r="E22" s="7" t="n">
        <v>43491</v>
      </c>
      <c r="F22" s="7" t="n">
        <v>46239</v>
      </c>
      <c r="G22" s="6" t="s">
        <v>270</v>
      </c>
      <c r="H22" s="6" t="n">
        <f aca="true">F22-TODAY()</f>
        <v>-6</v>
      </c>
    </row>
    <row r="23" customFormat="false" ht="15" hidden="false" customHeight="false" outlineLevel="0" collapsed="false">
      <c r="A23" s="6" t="s">
        <v>173</v>
      </c>
      <c r="B23" s="6" t="s">
        <v>268</v>
      </c>
      <c r="C23" s="6" t="s">
        <v>295</v>
      </c>
      <c r="D23" s="6" t="s">
        <v>77</v>
      </c>
      <c r="E23" s="7" t="n">
        <v>40337</v>
      </c>
      <c r="F23" s="7" t="n">
        <v>46764</v>
      </c>
      <c r="G23" s="6" t="s">
        <v>45</v>
      </c>
      <c r="H23" s="6" t="n">
        <f aca="true">F23-TODAY()</f>
        <v>519</v>
      </c>
    </row>
    <row r="24" customFormat="false" ht="15" hidden="false" customHeight="false" outlineLevel="0" collapsed="false">
      <c r="A24" s="6" t="s">
        <v>177</v>
      </c>
      <c r="B24" s="6" t="s">
        <v>275</v>
      </c>
      <c r="C24" s="6" t="s">
        <v>296</v>
      </c>
      <c r="D24" s="6" t="s">
        <v>70</v>
      </c>
      <c r="E24" s="7" t="n">
        <v>44895</v>
      </c>
      <c r="F24" s="7" t="n">
        <v>46591</v>
      </c>
      <c r="G24" s="6" t="s">
        <v>45</v>
      </c>
      <c r="H24" s="6" t="n">
        <f aca="true">F24-TODAY()</f>
        <v>346</v>
      </c>
    </row>
    <row r="25" customFormat="false" ht="15" hidden="false" customHeight="false" outlineLevel="0" collapsed="false">
      <c r="A25" s="6" t="s">
        <v>180</v>
      </c>
      <c r="B25" s="6" t="s">
        <v>268</v>
      </c>
      <c r="C25" s="6" t="s">
        <v>297</v>
      </c>
      <c r="D25" s="6" t="s">
        <v>77</v>
      </c>
      <c r="E25" s="7" t="n">
        <v>41621</v>
      </c>
      <c r="F25" s="7" t="n">
        <v>47066</v>
      </c>
      <c r="G25" s="6" t="s">
        <v>45</v>
      </c>
      <c r="H25" s="6" t="n">
        <f aca="true">F25-TODAY()</f>
        <v>821</v>
      </c>
    </row>
    <row r="26" customFormat="false" ht="15" hidden="false" customHeight="false" outlineLevel="0" collapsed="false">
      <c r="A26" s="6" t="s">
        <v>184</v>
      </c>
      <c r="B26" s="6" t="s">
        <v>283</v>
      </c>
      <c r="C26" s="6" t="s">
        <v>298</v>
      </c>
      <c r="D26" s="6" t="s">
        <v>70</v>
      </c>
      <c r="E26" s="7" t="n">
        <v>40262</v>
      </c>
      <c r="F26" s="7" t="n">
        <v>46846</v>
      </c>
      <c r="G26" s="6" t="s">
        <v>45</v>
      </c>
      <c r="H26" s="6" t="n">
        <f aca="true">F26-TODAY()</f>
        <v>601</v>
      </c>
    </row>
    <row r="27" customFormat="false" ht="15" hidden="false" customHeight="false" outlineLevel="0" collapsed="false">
      <c r="A27" s="6" t="s">
        <v>188</v>
      </c>
      <c r="B27" s="6" t="s">
        <v>268</v>
      </c>
      <c r="C27" s="6" t="s">
        <v>299</v>
      </c>
      <c r="D27" s="6" t="s">
        <v>55</v>
      </c>
      <c r="E27" s="7" t="n">
        <v>44687</v>
      </c>
      <c r="F27" s="7" t="n">
        <v>46561</v>
      </c>
      <c r="G27" s="6" t="s">
        <v>45</v>
      </c>
      <c r="H27" s="6" t="n">
        <f aca="true">F27-TODAY()</f>
        <v>316</v>
      </c>
    </row>
    <row r="28" customFormat="false" ht="15" hidden="false" customHeight="false" outlineLevel="0" collapsed="false">
      <c r="A28" s="6" t="s">
        <v>192</v>
      </c>
      <c r="B28" s="6" t="s">
        <v>289</v>
      </c>
      <c r="C28" s="6" t="s">
        <v>300</v>
      </c>
      <c r="D28" s="6" t="s">
        <v>64</v>
      </c>
      <c r="E28" s="7" t="n">
        <v>44554</v>
      </c>
      <c r="F28" s="7" t="n">
        <v>46144</v>
      </c>
      <c r="G28" s="6" t="s">
        <v>270</v>
      </c>
      <c r="H28" s="6" t="n">
        <f aca="true">F28-TODAY()</f>
        <v>-101</v>
      </c>
    </row>
    <row r="29" customFormat="false" ht="15" hidden="false" customHeight="false" outlineLevel="0" collapsed="false">
      <c r="A29" s="6" t="s">
        <v>197</v>
      </c>
      <c r="B29" s="6" t="s">
        <v>268</v>
      </c>
      <c r="C29" s="6" t="s">
        <v>301</v>
      </c>
      <c r="D29" s="6" t="s">
        <v>55</v>
      </c>
      <c r="E29" s="7" t="n">
        <v>44789</v>
      </c>
      <c r="F29" s="7" t="n">
        <v>46426</v>
      </c>
      <c r="G29" s="6" t="s">
        <v>45</v>
      </c>
      <c r="H29" s="6" t="n">
        <f aca="true">F29-TODAY()</f>
        <v>181</v>
      </c>
    </row>
    <row r="30" customFormat="false" ht="15" hidden="false" customHeight="false" outlineLevel="0" collapsed="false">
      <c r="A30" s="6" t="s">
        <v>201</v>
      </c>
      <c r="B30" s="6" t="s">
        <v>268</v>
      </c>
      <c r="C30" s="6" t="s">
        <v>302</v>
      </c>
      <c r="D30" s="6" t="s">
        <v>64</v>
      </c>
      <c r="E30" s="7" t="n">
        <v>43869</v>
      </c>
      <c r="F30" s="7" t="n">
        <v>46975</v>
      </c>
      <c r="G30" s="6" t="s">
        <v>45</v>
      </c>
      <c r="H30" s="6" t="n">
        <f aca="true">F30-TODAY()</f>
        <v>730</v>
      </c>
    </row>
    <row r="31" customFormat="false" ht="15" hidden="false" customHeight="false" outlineLevel="0" collapsed="false">
      <c r="A31" s="6" t="s">
        <v>204</v>
      </c>
      <c r="B31" s="6" t="s">
        <v>268</v>
      </c>
      <c r="C31" s="6" t="s">
        <v>303</v>
      </c>
      <c r="D31" s="6" t="s">
        <v>70</v>
      </c>
      <c r="E31" s="7" t="n">
        <v>42670</v>
      </c>
      <c r="F31" s="7" t="n">
        <v>46524</v>
      </c>
      <c r="G31" s="6" t="s">
        <v>45</v>
      </c>
      <c r="H31" s="6" t="n">
        <f aca="true">F31-TODAY()</f>
        <v>279</v>
      </c>
    </row>
    <row r="32" customFormat="false" ht="15" hidden="false" customHeight="false" outlineLevel="0" collapsed="false">
      <c r="A32" s="6" t="s">
        <v>210</v>
      </c>
      <c r="B32" s="6" t="s">
        <v>268</v>
      </c>
      <c r="C32" s="6" t="s">
        <v>304</v>
      </c>
      <c r="D32" s="6" t="s">
        <v>70</v>
      </c>
      <c r="E32" s="7" t="n">
        <v>44207</v>
      </c>
      <c r="F32" s="7" t="n">
        <v>46246</v>
      </c>
      <c r="G32" s="6" t="s">
        <v>45</v>
      </c>
      <c r="H32" s="6" t="n">
        <f aca="true">F32-TODAY()</f>
        <v>1</v>
      </c>
    </row>
    <row r="33" customFormat="false" ht="15" hidden="false" customHeight="false" outlineLevel="0" collapsed="false">
      <c r="A33" s="6" t="s">
        <v>215</v>
      </c>
      <c r="B33" s="6" t="s">
        <v>283</v>
      </c>
      <c r="C33" s="6" t="s">
        <v>305</v>
      </c>
      <c r="D33" s="6" t="s">
        <v>64</v>
      </c>
      <c r="E33" s="7" t="n">
        <v>41715</v>
      </c>
      <c r="F33" s="7" t="n">
        <v>46924</v>
      </c>
      <c r="G33" s="6" t="s">
        <v>45</v>
      </c>
      <c r="H33" s="6" t="n">
        <f aca="true">F33-TODAY()</f>
        <v>679</v>
      </c>
    </row>
    <row r="34" customFormat="false" ht="15" hidden="false" customHeight="false" outlineLevel="0" collapsed="false">
      <c r="A34" s="6" t="s">
        <v>218</v>
      </c>
      <c r="B34" s="6" t="s">
        <v>268</v>
      </c>
      <c r="C34" s="6" t="s">
        <v>306</v>
      </c>
      <c r="D34" s="6" t="s">
        <v>44</v>
      </c>
      <c r="E34" s="7" t="n">
        <v>41108</v>
      </c>
      <c r="F34" s="7" t="n">
        <v>46439</v>
      </c>
      <c r="G34" s="6" t="s">
        <v>45</v>
      </c>
      <c r="H34" s="6" t="n">
        <f aca="true">F34-TODAY()</f>
        <v>194</v>
      </c>
    </row>
    <row r="35" customFormat="false" ht="15" hidden="false" customHeight="false" outlineLevel="0" collapsed="false">
      <c r="A35" s="6" t="s">
        <v>222</v>
      </c>
      <c r="B35" s="6" t="s">
        <v>268</v>
      </c>
      <c r="C35" s="6" t="s">
        <v>307</v>
      </c>
      <c r="D35" s="6" t="s">
        <v>55</v>
      </c>
      <c r="E35" s="7" t="n">
        <v>44190</v>
      </c>
      <c r="F35" s="7" t="n">
        <v>46252</v>
      </c>
      <c r="G35" s="6" t="s">
        <v>45</v>
      </c>
      <c r="H35" s="6" t="n">
        <f aca="true">F35-TODAY()</f>
        <v>7</v>
      </c>
    </row>
    <row r="36" customFormat="false" ht="15" hidden="false" customHeight="false" outlineLevel="0" collapsed="false">
      <c r="A36" s="6" t="s">
        <v>226</v>
      </c>
      <c r="B36" s="6" t="s">
        <v>308</v>
      </c>
      <c r="C36" s="6" t="s">
        <v>309</v>
      </c>
      <c r="D36" s="6" t="s">
        <v>70</v>
      </c>
      <c r="E36" s="7" t="n">
        <v>43785</v>
      </c>
      <c r="F36" s="7" t="n">
        <v>46280</v>
      </c>
      <c r="G36" s="6" t="s">
        <v>45</v>
      </c>
      <c r="H36" s="6" t="n">
        <f aca="true">F36-TODAY()</f>
        <v>35</v>
      </c>
    </row>
    <row r="37" customFormat="false" ht="15" hidden="false" customHeight="false" outlineLevel="0" collapsed="false">
      <c r="A37" s="6" t="s">
        <v>230</v>
      </c>
      <c r="B37" s="6" t="s">
        <v>268</v>
      </c>
      <c r="C37" s="6" t="s">
        <v>310</v>
      </c>
      <c r="D37" s="6" t="s">
        <v>157</v>
      </c>
      <c r="E37" s="7" t="n">
        <v>40985</v>
      </c>
      <c r="F37" s="7" t="n">
        <v>46240</v>
      </c>
      <c r="G37" s="6" t="s">
        <v>270</v>
      </c>
      <c r="H37" s="6" t="n">
        <f aca="true">F37-TODAY()</f>
        <v>-5</v>
      </c>
    </row>
    <row r="38" customFormat="false" ht="15" hidden="false" customHeight="false" outlineLevel="0" collapsed="false">
      <c r="A38" s="6" t="s">
        <v>233</v>
      </c>
      <c r="B38" s="6" t="s">
        <v>289</v>
      </c>
      <c r="C38" s="6" t="s">
        <v>311</v>
      </c>
      <c r="D38" s="6" t="s">
        <v>64</v>
      </c>
      <c r="E38" s="7" t="n">
        <v>43956</v>
      </c>
      <c r="F38" s="7" t="n">
        <v>46608</v>
      </c>
      <c r="G38" s="6" t="s">
        <v>45</v>
      </c>
      <c r="H38" s="6" t="n">
        <f aca="true">F38-TODAY()</f>
        <v>363</v>
      </c>
    </row>
    <row r="39" customFormat="false" ht="15" hidden="false" customHeight="false" outlineLevel="0" collapsed="false">
      <c r="A39" s="6" t="s">
        <v>238</v>
      </c>
      <c r="B39" s="6" t="s">
        <v>308</v>
      </c>
      <c r="C39" s="6" t="s">
        <v>312</v>
      </c>
      <c r="D39" s="6" t="s">
        <v>77</v>
      </c>
      <c r="E39" s="7" t="n">
        <v>42597</v>
      </c>
      <c r="F39" s="7" t="n">
        <v>46339</v>
      </c>
      <c r="G39" s="6" t="s">
        <v>45</v>
      </c>
      <c r="H39" s="6" t="n">
        <f aca="true">F39-TODAY()</f>
        <v>94</v>
      </c>
    </row>
    <row r="40" customFormat="false" ht="15" hidden="false" customHeight="false" outlineLevel="0" collapsed="false">
      <c r="A40" s="6" t="s">
        <v>243</v>
      </c>
      <c r="B40" s="6" t="s">
        <v>268</v>
      </c>
      <c r="C40" s="6" t="s">
        <v>313</v>
      </c>
      <c r="D40" s="6" t="s">
        <v>118</v>
      </c>
      <c r="E40" s="7" t="n">
        <v>43582</v>
      </c>
      <c r="F40" s="7" t="n">
        <v>46117</v>
      </c>
      <c r="G40" s="6" t="s">
        <v>270</v>
      </c>
      <c r="H40" s="6" t="n">
        <f aca="true">F40-TODAY()</f>
        <v>-128</v>
      </c>
    </row>
    <row r="41" customFormat="false" ht="15" hidden="false" customHeight="false" outlineLevel="0" collapsed="false">
      <c r="A41" s="6" t="s">
        <v>246</v>
      </c>
      <c r="B41" s="6" t="s">
        <v>275</v>
      </c>
      <c r="C41" s="6" t="s">
        <v>314</v>
      </c>
      <c r="D41" s="6" t="s">
        <v>64</v>
      </c>
      <c r="E41" s="7" t="n">
        <v>42326</v>
      </c>
      <c r="F41" s="7" t="n">
        <v>46961</v>
      </c>
      <c r="G41" s="6" t="s">
        <v>45</v>
      </c>
      <c r="H41" s="6" t="n">
        <f aca="true">F41-TODAY()</f>
        <v>716</v>
      </c>
    </row>
    <row r="42" customFormat="false" ht="15" hidden="false" customHeight="false" outlineLevel="0" collapsed="false">
      <c r="A42" s="6" t="s">
        <v>251</v>
      </c>
      <c r="B42" s="6" t="s">
        <v>289</v>
      </c>
      <c r="C42" s="6" t="s">
        <v>315</v>
      </c>
      <c r="D42" s="6" t="s">
        <v>55</v>
      </c>
      <c r="E42" s="7" t="n">
        <v>42102</v>
      </c>
      <c r="F42" s="7" t="n">
        <v>46825</v>
      </c>
      <c r="G42" s="6" t="s">
        <v>45</v>
      </c>
      <c r="H42" s="6" t="n">
        <f aca="true">F42-TODAY()</f>
        <v>580</v>
      </c>
    </row>
    <row r="43" customFormat="false" ht="15" hidden="false" customHeight="false" outlineLevel="0" collapsed="false">
      <c r="A43" s="6" t="s">
        <v>256</v>
      </c>
      <c r="B43" s="6" t="s">
        <v>285</v>
      </c>
      <c r="C43" s="6" t="s">
        <v>316</v>
      </c>
      <c r="D43" s="6" t="s">
        <v>133</v>
      </c>
      <c r="E43" s="7" t="n">
        <v>41179</v>
      </c>
      <c r="F43" s="7" t="n">
        <v>46440</v>
      </c>
      <c r="G43" s="6" t="s">
        <v>45</v>
      </c>
      <c r="H43" s="6" t="n">
        <f aca="true">F43-TODAY()</f>
        <v>195</v>
      </c>
    </row>
  </sheetData>
  <conditionalFormatting sqref="G2:G43">
    <cfRule type="cellIs" priority="2" operator="equal" aboveAverage="0" equalAverage="0" bottom="0" percent="0" rank="0" text="" dxfId="6">
      <formula>"Expired"</formula>
    </cfRule>
    <cfRule type="cellIs" priority="3" operator="equal" aboveAverage="0" equalAverage="0" bottom="0" percent="0" rank="0" text="" dxfId="8">
      <formula>"Active"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5" min="4" style="0" width="15"/>
    <col collapsed="false" customWidth="true" hidden="false" outlineLevel="0" max="6" min="6" style="0" width="10"/>
  </cols>
  <sheetData>
    <row r="1" customFormat="false" ht="30" hidden="false" customHeight="true" outlineLevel="0" collapsed="false">
      <c r="A1" s="5" t="s">
        <v>18</v>
      </c>
      <c r="B1" s="5" t="s">
        <v>317</v>
      </c>
      <c r="C1" s="5" t="s">
        <v>318</v>
      </c>
      <c r="D1" s="5" t="s">
        <v>319</v>
      </c>
      <c r="E1" s="5" t="s">
        <v>265</v>
      </c>
      <c r="F1" s="5" t="s">
        <v>266</v>
      </c>
    </row>
    <row r="2" customFormat="false" ht="15" hidden="false" customHeight="false" outlineLevel="0" collapsed="false">
      <c r="A2" s="6" t="s">
        <v>36</v>
      </c>
      <c r="B2" s="6" t="s">
        <v>320</v>
      </c>
      <c r="C2" s="6" t="s">
        <v>321</v>
      </c>
      <c r="D2" s="7" t="n">
        <v>41126</v>
      </c>
      <c r="E2" s="7" t="n">
        <v>44778</v>
      </c>
      <c r="F2" s="6" t="s">
        <v>270</v>
      </c>
    </row>
    <row r="3" customFormat="false" ht="15" hidden="false" customHeight="false" outlineLevel="0" collapsed="false">
      <c r="A3" s="6" t="s">
        <v>48</v>
      </c>
      <c r="B3" s="6" t="s">
        <v>320</v>
      </c>
      <c r="C3" s="6" t="s">
        <v>322</v>
      </c>
      <c r="D3" s="7" t="n">
        <v>43871</v>
      </c>
      <c r="E3" s="7" t="n">
        <v>47524</v>
      </c>
      <c r="F3" s="6" t="s">
        <v>45</v>
      </c>
    </row>
    <row r="4" customFormat="false" ht="15" hidden="false" customHeight="false" outlineLevel="0" collapsed="false">
      <c r="A4" s="6" t="s">
        <v>58</v>
      </c>
      <c r="B4" s="6" t="s">
        <v>320</v>
      </c>
      <c r="C4" s="6" t="s">
        <v>321</v>
      </c>
      <c r="D4" s="7" t="n">
        <v>41367</v>
      </c>
      <c r="E4" s="7" t="n">
        <v>45019</v>
      </c>
      <c r="F4" s="6" t="s">
        <v>270</v>
      </c>
    </row>
    <row r="5" customFormat="false" ht="15" hidden="false" customHeight="false" outlineLevel="0" collapsed="false">
      <c r="A5" s="6" t="s">
        <v>66</v>
      </c>
      <c r="B5" s="6" t="s">
        <v>320</v>
      </c>
      <c r="C5" s="6" t="s">
        <v>321</v>
      </c>
      <c r="D5" s="7" t="n">
        <v>44951</v>
      </c>
      <c r="E5" s="7" t="n">
        <v>48604</v>
      </c>
      <c r="F5" s="6" t="s">
        <v>45</v>
      </c>
    </row>
    <row r="6" customFormat="false" ht="15" hidden="false" customHeight="false" outlineLevel="0" collapsed="false">
      <c r="A6" s="6" t="s">
        <v>72</v>
      </c>
      <c r="B6" s="6" t="s">
        <v>320</v>
      </c>
      <c r="C6" s="6" t="s">
        <v>323</v>
      </c>
      <c r="D6" s="7" t="n">
        <v>44625</v>
      </c>
      <c r="E6" s="7" t="n">
        <v>48278</v>
      </c>
      <c r="F6" s="6" t="s">
        <v>45</v>
      </c>
    </row>
    <row r="7" customFormat="false" ht="15" hidden="false" customHeight="false" outlineLevel="0" collapsed="false">
      <c r="A7" s="6" t="s">
        <v>81</v>
      </c>
      <c r="B7" s="6" t="s">
        <v>324</v>
      </c>
      <c r="C7" s="6" t="s">
        <v>325</v>
      </c>
      <c r="D7" s="7" t="n">
        <v>41554</v>
      </c>
      <c r="E7" s="7" t="n">
        <v>45206</v>
      </c>
      <c r="F7" s="6" t="s">
        <v>270</v>
      </c>
    </row>
    <row r="8" customFormat="false" ht="15" hidden="false" customHeight="false" outlineLevel="0" collapsed="false">
      <c r="A8" s="6" t="s">
        <v>87</v>
      </c>
      <c r="B8" s="6" t="s">
        <v>320</v>
      </c>
      <c r="C8" s="6" t="s">
        <v>326</v>
      </c>
      <c r="D8" s="7" t="n">
        <v>42939</v>
      </c>
      <c r="E8" s="7" t="n">
        <v>46591</v>
      </c>
      <c r="F8" s="6" t="s">
        <v>45</v>
      </c>
    </row>
    <row r="9" customFormat="false" ht="15" hidden="false" customHeight="false" outlineLevel="0" collapsed="false">
      <c r="A9" s="6" t="s">
        <v>93</v>
      </c>
      <c r="B9" s="6" t="s">
        <v>320</v>
      </c>
      <c r="C9" s="6" t="s">
        <v>322</v>
      </c>
      <c r="D9" s="7" t="n">
        <v>44440</v>
      </c>
      <c r="E9" s="7" t="n">
        <v>48092</v>
      </c>
      <c r="F9" s="6" t="s">
        <v>45</v>
      </c>
    </row>
    <row r="10" customFormat="false" ht="15" hidden="false" customHeight="false" outlineLevel="0" collapsed="false">
      <c r="A10" s="6" t="s">
        <v>100</v>
      </c>
      <c r="B10" s="6" t="s">
        <v>320</v>
      </c>
      <c r="C10" s="6" t="s">
        <v>327</v>
      </c>
      <c r="D10" s="7" t="n">
        <v>42845</v>
      </c>
      <c r="E10" s="7" t="n">
        <v>46497</v>
      </c>
      <c r="F10" s="6" t="s">
        <v>45</v>
      </c>
    </row>
    <row r="11" customFormat="false" ht="15" hidden="false" customHeight="false" outlineLevel="0" collapsed="false">
      <c r="A11" s="6" t="s">
        <v>106</v>
      </c>
      <c r="B11" s="6" t="s">
        <v>320</v>
      </c>
      <c r="C11" s="6" t="s">
        <v>327</v>
      </c>
      <c r="D11" s="7" t="n">
        <v>45259</v>
      </c>
      <c r="E11" s="7" t="n">
        <v>48911</v>
      </c>
      <c r="F11" s="6" t="s">
        <v>45</v>
      </c>
    </row>
    <row r="12" customFormat="false" ht="15" hidden="false" customHeight="false" outlineLevel="0" collapsed="false">
      <c r="A12" s="6" t="s">
        <v>111</v>
      </c>
      <c r="B12" s="6" t="s">
        <v>320</v>
      </c>
      <c r="C12" s="6" t="s">
        <v>322</v>
      </c>
      <c r="D12" s="7" t="n">
        <v>43366</v>
      </c>
      <c r="E12" s="7" t="n">
        <v>47019</v>
      </c>
      <c r="F12" s="6" t="s">
        <v>45</v>
      </c>
    </row>
    <row r="13" customFormat="false" ht="15" hidden="false" customHeight="false" outlineLevel="0" collapsed="false">
      <c r="A13" s="6" t="s">
        <v>115</v>
      </c>
      <c r="B13" s="6" t="s">
        <v>320</v>
      </c>
      <c r="C13" s="6" t="s">
        <v>328</v>
      </c>
      <c r="D13" s="7" t="n">
        <v>42182</v>
      </c>
      <c r="E13" s="7" t="n">
        <v>45835</v>
      </c>
      <c r="F13" s="6" t="s">
        <v>270</v>
      </c>
    </row>
    <row r="14" customFormat="false" ht="15" hidden="false" customHeight="false" outlineLevel="0" collapsed="false">
      <c r="A14" s="6" t="s">
        <v>121</v>
      </c>
      <c r="B14" s="6" t="s">
        <v>329</v>
      </c>
      <c r="C14" s="6" t="s">
        <v>330</v>
      </c>
      <c r="D14" s="7" t="n">
        <v>43933</v>
      </c>
      <c r="E14" s="7" t="n">
        <v>47585</v>
      </c>
      <c r="F14" s="6" t="s">
        <v>45</v>
      </c>
    </row>
    <row r="15" customFormat="false" ht="15" hidden="false" customHeight="false" outlineLevel="0" collapsed="false">
      <c r="A15" s="6" t="s">
        <v>127</v>
      </c>
      <c r="B15" s="6" t="s">
        <v>331</v>
      </c>
      <c r="C15" s="6" t="s">
        <v>332</v>
      </c>
      <c r="D15" s="7" t="n">
        <v>43630</v>
      </c>
      <c r="E15" s="7" t="n">
        <v>47283</v>
      </c>
      <c r="F15" s="6" t="s">
        <v>45</v>
      </c>
    </row>
    <row r="16" customFormat="false" ht="15" hidden="false" customHeight="false" outlineLevel="0" collapsed="false">
      <c r="A16" s="6" t="s">
        <v>135</v>
      </c>
      <c r="B16" s="6" t="s">
        <v>320</v>
      </c>
      <c r="C16" s="6" t="s">
        <v>333</v>
      </c>
      <c r="D16" s="7" t="n">
        <v>43785</v>
      </c>
      <c r="E16" s="7" t="n">
        <v>47438</v>
      </c>
      <c r="F16" s="6" t="s">
        <v>45</v>
      </c>
    </row>
    <row r="17" customFormat="false" ht="15" hidden="false" customHeight="false" outlineLevel="0" collapsed="false">
      <c r="A17" s="6" t="s">
        <v>141</v>
      </c>
      <c r="B17" s="6" t="s">
        <v>320</v>
      </c>
      <c r="C17" s="6" t="s">
        <v>323</v>
      </c>
      <c r="D17" s="7" t="n">
        <v>42523</v>
      </c>
      <c r="E17" s="7" t="n">
        <v>46175</v>
      </c>
      <c r="F17" s="6" t="s">
        <v>270</v>
      </c>
    </row>
    <row r="18" customFormat="false" ht="15" hidden="false" customHeight="false" outlineLevel="0" collapsed="false">
      <c r="A18" s="6" t="s">
        <v>148</v>
      </c>
      <c r="B18" s="6" t="s">
        <v>334</v>
      </c>
      <c r="C18" s="6" t="s">
        <v>335</v>
      </c>
      <c r="D18" s="7" t="n">
        <v>42659</v>
      </c>
      <c r="E18" s="7" t="n">
        <v>46311</v>
      </c>
      <c r="F18" s="6" t="s">
        <v>45</v>
      </c>
    </row>
    <row r="19" customFormat="false" ht="15" hidden="false" customHeight="false" outlineLevel="0" collapsed="false">
      <c r="A19" s="6" t="s">
        <v>154</v>
      </c>
      <c r="B19" s="6" t="s">
        <v>320</v>
      </c>
      <c r="C19" s="6" t="s">
        <v>336</v>
      </c>
      <c r="D19" s="7" t="n">
        <v>40954</v>
      </c>
      <c r="E19" s="7" t="n">
        <v>44607</v>
      </c>
      <c r="F19" s="6" t="s">
        <v>270</v>
      </c>
    </row>
    <row r="20" customFormat="false" ht="15" hidden="false" customHeight="false" outlineLevel="0" collapsed="false">
      <c r="A20" s="6" t="s">
        <v>159</v>
      </c>
      <c r="B20" s="6" t="s">
        <v>320</v>
      </c>
      <c r="C20" s="6" t="s">
        <v>328</v>
      </c>
      <c r="D20" s="7" t="n">
        <v>43180</v>
      </c>
      <c r="E20" s="7" t="n">
        <v>46833</v>
      </c>
      <c r="F20" s="6" t="s">
        <v>45</v>
      </c>
    </row>
    <row r="21" customFormat="false" ht="15" hidden="false" customHeight="false" outlineLevel="0" collapsed="false">
      <c r="A21" s="6" t="s">
        <v>163</v>
      </c>
      <c r="B21" s="6" t="s">
        <v>320</v>
      </c>
      <c r="C21" s="6" t="s">
        <v>327</v>
      </c>
      <c r="D21" s="7" t="n">
        <v>42603</v>
      </c>
      <c r="E21" s="7" t="n">
        <v>46255</v>
      </c>
      <c r="F21" s="6" t="s">
        <v>45</v>
      </c>
    </row>
    <row r="22" customFormat="false" ht="15" hidden="false" customHeight="false" outlineLevel="0" collapsed="false">
      <c r="A22" s="6" t="s">
        <v>168</v>
      </c>
      <c r="B22" s="6" t="s">
        <v>320</v>
      </c>
      <c r="C22" s="6" t="s">
        <v>337</v>
      </c>
      <c r="D22" s="7" t="n">
        <v>45284</v>
      </c>
      <c r="E22" s="7" t="n">
        <v>48937</v>
      </c>
      <c r="F22" s="6" t="s">
        <v>45</v>
      </c>
    </row>
    <row r="23" customFormat="false" ht="15" hidden="false" customHeight="false" outlineLevel="0" collapsed="false">
      <c r="A23" s="6" t="s">
        <v>173</v>
      </c>
      <c r="B23" s="6" t="s">
        <v>320</v>
      </c>
      <c r="C23" s="6" t="s">
        <v>333</v>
      </c>
      <c r="D23" s="7" t="n">
        <v>41471</v>
      </c>
      <c r="E23" s="7" t="n">
        <v>45123</v>
      </c>
      <c r="F23" s="6" t="s">
        <v>270</v>
      </c>
    </row>
    <row r="24" customFormat="false" ht="15" hidden="false" customHeight="false" outlineLevel="0" collapsed="false">
      <c r="A24" s="6" t="s">
        <v>177</v>
      </c>
      <c r="B24" s="6" t="s">
        <v>324</v>
      </c>
      <c r="C24" s="6" t="s">
        <v>325</v>
      </c>
      <c r="D24" s="7" t="n">
        <v>41531</v>
      </c>
      <c r="E24" s="7" t="n">
        <v>45183</v>
      </c>
      <c r="F24" s="6" t="s">
        <v>270</v>
      </c>
    </row>
    <row r="25" customFormat="false" ht="15" hidden="false" customHeight="false" outlineLevel="0" collapsed="false">
      <c r="A25" s="6" t="s">
        <v>180</v>
      </c>
      <c r="B25" s="6" t="s">
        <v>320</v>
      </c>
      <c r="C25" s="6" t="s">
        <v>338</v>
      </c>
      <c r="D25" s="7" t="n">
        <v>44869</v>
      </c>
      <c r="E25" s="7" t="n">
        <v>48522</v>
      </c>
      <c r="F25" s="6" t="s">
        <v>45</v>
      </c>
    </row>
    <row r="26" customFormat="false" ht="15" hidden="false" customHeight="false" outlineLevel="0" collapsed="false">
      <c r="A26" s="6" t="s">
        <v>184</v>
      </c>
      <c r="B26" s="6" t="s">
        <v>329</v>
      </c>
      <c r="C26" s="6" t="s">
        <v>330</v>
      </c>
      <c r="D26" s="7" t="n">
        <v>44238</v>
      </c>
      <c r="E26" s="7" t="n">
        <v>47890</v>
      </c>
      <c r="F26" s="6" t="s">
        <v>45</v>
      </c>
    </row>
    <row r="27" customFormat="false" ht="15" hidden="false" customHeight="false" outlineLevel="0" collapsed="false">
      <c r="A27" s="6" t="s">
        <v>188</v>
      </c>
      <c r="B27" s="6" t="s">
        <v>320</v>
      </c>
      <c r="C27" s="6" t="s">
        <v>337</v>
      </c>
      <c r="D27" s="7" t="n">
        <v>43128</v>
      </c>
      <c r="E27" s="7" t="n">
        <v>46780</v>
      </c>
      <c r="F27" s="6" t="s">
        <v>45</v>
      </c>
    </row>
    <row r="28" customFormat="false" ht="15" hidden="false" customHeight="false" outlineLevel="0" collapsed="false">
      <c r="A28" s="6" t="s">
        <v>192</v>
      </c>
      <c r="B28" s="6" t="s">
        <v>334</v>
      </c>
      <c r="C28" s="6" t="s">
        <v>339</v>
      </c>
      <c r="D28" s="7" t="n">
        <v>43302</v>
      </c>
      <c r="E28" s="7" t="n">
        <v>46955</v>
      </c>
      <c r="F28" s="6" t="s">
        <v>45</v>
      </c>
    </row>
    <row r="29" customFormat="false" ht="15" hidden="false" customHeight="false" outlineLevel="0" collapsed="false">
      <c r="A29" s="6" t="s">
        <v>197</v>
      </c>
      <c r="B29" s="6" t="s">
        <v>320</v>
      </c>
      <c r="C29" s="6" t="s">
        <v>322</v>
      </c>
      <c r="D29" s="7" t="n">
        <v>44318</v>
      </c>
      <c r="E29" s="7" t="n">
        <v>47970</v>
      </c>
      <c r="F29" s="6" t="s">
        <v>45</v>
      </c>
    </row>
    <row r="30" customFormat="false" ht="15" hidden="false" customHeight="false" outlineLevel="0" collapsed="false">
      <c r="A30" s="6" t="s">
        <v>201</v>
      </c>
      <c r="B30" s="6" t="s">
        <v>320</v>
      </c>
      <c r="C30" s="6" t="s">
        <v>321</v>
      </c>
      <c r="D30" s="7" t="n">
        <v>42805</v>
      </c>
      <c r="E30" s="7" t="n">
        <v>46457</v>
      </c>
      <c r="F30" s="6" t="s">
        <v>45</v>
      </c>
    </row>
    <row r="31" customFormat="false" ht="15" hidden="false" customHeight="false" outlineLevel="0" collapsed="false">
      <c r="A31" s="6" t="s">
        <v>204</v>
      </c>
      <c r="B31" s="6" t="s">
        <v>320</v>
      </c>
      <c r="C31" s="6" t="s">
        <v>340</v>
      </c>
      <c r="D31" s="7" t="n">
        <v>44954</v>
      </c>
      <c r="E31" s="7" t="n">
        <v>48607</v>
      </c>
      <c r="F31" s="6" t="s">
        <v>45</v>
      </c>
    </row>
    <row r="32" customFormat="false" ht="15" hidden="false" customHeight="false" outlineLevel="0" collapsed="false">
      <c r="A32" s="6" t="s">
        <v>210</v>
      </c>
      <c r="B32" s="6" t="s">
        <v>320</v>
      </c>
      <c r="C32" s="6" t="s">
        <v>340</v>
      </c>
      <c r="D32" s="7" t="n">
        <v>43639</v>
      </c>
      <c r="E32" s="7" t="n">
        <v>47292</v>
      </c>
      <c r="F32" s="6" t="s">
        <v>45</v>
      </c>
    </row>
    <row r="33" customFormat="false" ht="15" hidden="false" customHeight="false" outlineLevel="0" collapsed="false">
      <c r="A33" s="6" t="s">
        <v>215</v>
      </c>
      <c r="B33" s="6" t="s">
        <v>329</v>
      </c>
      <c r="C33" s="6" t="s">
        <v>330</v>
      </c>
      <c r="D33" s="7" t="n">
        <v>44992</v>
      </c>
      <c r="E33" s="7" t="n">
        <v>48645</v>
      </c>
      <c r="F33" s="6" t="s">
        <v>45</v>
      </c>
    </row>
    <row r="34" customFormat="false" ht="15" hidden="false" customHeight="false" outlineLevel="0" collapsed="false">
      <c r="A34" s="6" t="s">
        <v>218</v>
      </c>
      <c r="B34" s="6" t="s">
        <v>320</v>
      </c>
      <c r="C34" s="6" t="s">
        <v>336</v>
      </c>
      <c r="D34" s="7" t="n">
        <v>42170</v>
      </c>
      <c r="E34" s="7" t="n">
        <v>45823</v>
      </c>
      <c r="F34" s="6" t="s">
        <v>270</v>
      </c>
    </row>
    <row r="35" customFormat="false" ht="15" hidden="false" customHeight="false" outlineLevel="0" collapsed="false">
      <c r="A35" s="6" t="s">
        <v>222</v>
      </c>
      <c r="B35" s="6" t="s">
        <v>320</v>
      </c>
      <c r="C35" s="6" t="s">
        <v>321</v>
      </c>
      <c r="D35" s="7" t="n">
        <v>43736</v>
      </c>
      <c r="E35" s="7" t="n">
        <v>47389</v>
      </c>
      <c r="F35" s="6" t="s">
        <v>45</v>
      </c>
    </row>
    <row r="36" customFormat="false" ht="15" hidden="false" customHeight="false" outlineLevel="0" collapsed="false">
      <c r="A36" s="6" t="s">
        <v>226</v>
      </c>
      <c r="B36" s="6" t="s">
        <v>341</v>
      </c>
      <c r="C36" s="6" t="s">
        <v>342</v>
      </c>
      <c r="D36" s="7" t="n">
        <v>42089</v>
      </c>
      <c r="E36" s="7" t="n">
        <v>45742</v>
      </c>
      <c r="F36" s="6" t="s">
        <v>270</v>
      </c>
    </row>
    <row r="37" customFormat="false" ht="15" hidden="false" customHeight="false" outlineLevel="0" collapsed="false">
      <c r="A37" s="6" t="s">
        <v>230</v>
      </c>
      <c r="B37" s="6" t="s">
        <v>320</v>
      </c>
      <c r="C37" s="6" t="s">
        <v>328</v>
      </c>
      <c r="D37" s="7" t="n">
        <v>43362</v>
      </c>
      <c r="E37" s="7" t="n">
        <v>47015</v>
      </c>
      <c r="F37" s="6" t="s">
        <v>45</v>
      </c>
    </row>
    <row r="38" customFormat="false" ht="15" hidden="false" customHeight="false" outlineLevel="0" collapsed="false">
      <c r="A38" s="6" t="s">
        <v>233</v>
      </c>
      <c r="B38" s="6" t="s">
        <v>334</v>
      </c>
      <c r="C38" s="6" t="s">
        <v>335</v>
      </c>
      <c r="D38" s="7" t="n">
        <v>40985</v>
      </c>
      <c r="E38" s="7" t="n">
        <v>44637</v>
      </c>
      <c r="F38" s="6" t="s">
        <v>270</v>
      </c>
    </row>
    <row r="39" customFormat="false" ht="15" hidden="false" customHeight="false" outlineLevel="0" collapsed="false">
      <c r="A39" s="6" t="s">
        <v>238</v>
      </c>
      <c r="B39" s="6" t="s">
        <v>341</v>
      </c>
      <c r="C39" s="6" t="s">
        <v>342</v>
      </c>
      <c r="D39" s="7" t="n">
        <v>40975</v>
      </c>
      <c r="E39" s="7" t="n">
        <v>44627</v>
      </c>
      <c r="F39" s="6" t="s">
        <v>270</v>
      </c>
    </row>
    <row r="40" customFormat="false" ht="15" hidden="false" customHeight="false" outlineLevel="0" collapsed="false">
      <c r="A40" s="6" t="s">
        <v>243</v>
      </c>
      <c r="B40" s="6" t="s">
        <v>320</v>
      </c>
      <c r="C40" s="6" t="s">
        <v>340</v>
      </c>
      <c r="D40" s="7" t="n">
        <v>43906</v>
      </c>
      <c r="E40" s="7" t="n">
        <v>47558</v>
      </c>
      <c r="F40" s="6" t="s">
        <v>45</v>
      </c>
    </row>
    <row r="41" customFormat="false" ht="15" hidden="false" customHeight="false" outlineLevel="0" collapsed="false">
      <c r="A41" s="6" t="s">
        <v>246</v>
      </c>
      <c r="B41" s="6" t="s">
        <v>324</v>
      </c>
      <c r="C41" s="6" t="s">
        <v>325</v>
      </c>
      <c r="D41" s="7" t="n">
        <v>43952</v>
      </c>
      <c r="E41" s="7" t="n">
        <v>47604</v>
      </c>
      <c r="F41" s="6" t="s">
        <v>45</v>
      </c>
    </row>
    <row r="42" customFormat="false" ht="15" hidden="false" customHeight="false" outlineLevel="0" collapsed="false">
      <c r="A42" s="6" t="s">
        <v>251</v>
      </c>
      <c r="B42" s="6" t="s">
        <v>334</v>
      </c>
      <c r="C42" s="6" t="s">
        <v>339</v>
      </c>
      <c r="D42" s="7" t="n">
        <v>43948</v>
      </c>
      <c r="E42" s="7" t="n">
        <v>47600</v>
      </c>
      <c r="F42" s="6" t="s">
        <v>45</v>
      </c>
    </row>
    <row r="43" customFormat="false" ht="15" hidden="false" customHeight="false" outlineLevel="0" collapsed="false">
      <c r="A43" s="6" t="s">
        <v>256</v>
      </c>
      <c r="B43" s="6" t="s">
        <v>331</v>
      </c>
      <c r="C43" s="6" t="s">
        <v>332</v>
      </c>
      <c r="D43" s="7" t="n">
        <v>41083</v>
      </c>
      <c r="E43" s="7" t="n">
        <v>44735</v>
      </c>
      <c r="F43" s="6" t="s">
        <v>270</v>
      </c>
    </row>
  </sheetData>
  <conditionalFormatting sqref="F2:F43">
    <cfRule type="cellIs" priority="2" operator="equal" aboveAverage="0" equalAverage="0" bottom="0" percent="0" rank="0" text="" dxfId="6">
      <formula>"Expired"</formula>
    </cfRule>
    <cfRule type="cellIs" priority="3" operator="equal" aboveAverage="0" equalAverage="0" bottom="0" percent="0" rank="0" text="" dxfId="8">
      <formula>"Active"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30" hidden="false" customHeight="true" outlineLevel="0" collapsed="false">
      <c r="A1" s="5" t="s">
        <v>18</v>
      </c>
      <c r="B1" s="5" t="s">
        <v>343</v>
      </c>
      <c r="C1" s="5" t="s">
        <v>344</v>
      </c>
      <c r="D1" s="5" t="s">
        <v>265</v>
      </c>
      <c r="E1" s="5" t="s">
        <v>266</v>
      </c>
    </row>
    <row r="2" customFormat="false" ht="15" hidden="false" customHeight="false" outlineLevel="0" collapsed="false">
      <c r="A2" s="6" t="s">
        <v>36</v>
      </c>
      <c r="B2" s="6" t="s">
        <v>345</v>
      </c>
      <c r="C2" s="6" t="s">
        <v>346</v>
      </c>
      <c r="D2" s="7" t="n">
        <v>46280</v>
      </c>
      <c r="E2" s="6" t="s">
        <v>45</v>
      </c>
    </row>
    <row r="3" customFormat="false" ht="15" hidden="false" customHeight="false" outlineLevel="0" collapsed="false">
      <c r="A3" s="6" t="s">
        <v>48</v>
      </c>
      <c r="B3" s="6" t="s">
        <v>347</v>
      </c>
      <c r="C3" s="6" t="s">
        <v>346</v>
      </c>
      <c r="D3" s="7" t="n">
        <v>44846</v>
      </c>
      <c r="E3" s="6" t="s">
        <v>270</v>
      </c>
    </row>
    <row r="4" customFormat="false" ht="15" hidden="false" customHeight="false" outlineLevel="0" collapsed="false">
      <c r="A4" s="6" t="s">
        <v>58</v>
      </c>
      <c r="B4" s="6" t="s">
        <v>348</v>
      </c>
      <c r="C4" s="6" t="s">
        <v>346</v>
      </c>
      <c r="D4" s="7" t="n">
        <v>44693</v>
      </c>
      <c r="E4" s="6" t="s">
        <v>270</v>
      </c>
    </row>
    <row r="5" customFormat="false" ht="15" hidden="false" customHeight="false" outlineLevel="0" collapsed="false">
      <c r="A5" s="6" t="s">
        <v>87</v>
      </c>
      <c r="B5" s="6" t="s">
        <v>349</v>
      </c>
      <c r="C5" s="6" t="s">
        <v>346</v>
      </c>
      <c r="D5" s="7" t="n">
        <v>45946</v>
      </c>
      <c r="E5" s="6" t="s">
        <v>270</v>
      </c>
    </row>
    <row r="6" customFormat="false" ht="15" hidden="false" customHeight="false" outlineLevel="0" collapsed="false">
      <c r="A6" s="6" t="s">
        <v>93</v>
      </c>
      <c r="B6" s="6" t="s">
        <v>350</v>
      </c>
      <c r="C6" s="6" t="s">
        <v>346</v>
      </c>
      <c r="D6" s="7" t="n">
        <v>46245</v>
      </c>
      <c r="E6" s="6" t="s">
        <v>270</v>
      </c>
    </row>
    <row r="7" customFormat="false" ht="15" hidden="false" customHeight="false" outlineLevel="0" collapsed="false">
      <c r="A7" s="6" t="s">
        <v>100</v>
      </c>
      <c r="B7" s="6" t="s">
        <v>351</v>
      </c>
      <c r="C7" s="6" t="s">
        <v>346</v>
      </c>
      <c r="D7" s="7" t="n">
        <v>46550</v>
      </c>
      <c r="E7" s="6" t="s">
        <v>45</v>
      </c>
    </row>
    <row r="8" customFormat="false" ht="15" hidden="false" customHeight="false" outlineLevel="0" collapsed="false">
      <c r="A8" s="6" t="s">
        <v>106</v>
      </c>
      <c r="B8" s="6" t="s">
        <v>352</v>
      </c>
      <c r="C8" s="6" t="s">
        <v>346</v>
      </c>
      <c r="D8" s="7" t="n">
        <v>46641</v>
      </c>
      <c r="E8" s="6" t="s">
        <v>45</v>
      </c>
    </row>
    <row r="9" customFormat="false" ht="15" hidden="false" customHeight="false" outlineLevel="0" collapsed="false">
      <c r="A9" s="6" t="s">
        <v>111</v>
      </c>
      <c r="B9" s="6" t="s">
        <v>353</v>
      </c>
      <c r="C9" s="6" t="s">
        <v>346</v>
      </c>
      <c r="D9" s="7" t="n">
        <v>44859</v>
      </c>
      <c r="E9" s="6" t="s">
        <v>270</v>
      </c>
    </row>
    <row r="10" customFormat="false" ht="15" hidden="false" customHeight="false" outlineLevel="0" collapsed="false">
      <c r="A10" s="6" t="s">
        <v>115</v>
      </c>
      <c r="B10" s="6" t="s">
        <v>354</v>
      </c>
      <c r="C10" s="6" t="s">
        <v>346</v>
      </c>
      <c r="D10" s="7" t="n">
        <v>45424</v>
      </c>
      <c r="E10" s="6" t="s">
        <v>270</v>
      </c>
    </row>
    <row r="11" customFormat="false" ht="15" hidden="false" customHeight="false" outlineLevel="0" collapsed="false">
      <c r="A11" s="6" t="s">
        <v>135</v>
      </c>
      <c r="B11" s="6" t="s">
        <v>355</v>
      </c>
      <c r="C11" s="6" t="s">
        <v>346</v>
      </c>
      <c r="D11" s="7" t="n">
        <v>46199</v>
      </c>
      <c r="E11" s="6" t="s">
        <v>270</v>
      </c>
    </row>
    <row r="12" customFormat="false" ht="15" hidden="false" customHeight="false" outlineLevel="0" collapsed="false">
      <c r="A12" s="6" t="s">
        <v>141</v>
      </c>
      <c r="B12" s="6" t="s">
        <v>356</v>
      </c>
      <c r="C12" s="6" t="s">
        <v>346</v>
      </c>
      <c r="D12" s="7" t="n">
        <v>44848</v>
      </c>
      <c r="E12" s="6" t="s">
        <v>270</v>
      </c>
    </row>
    <row r="13" customFormat="false" ht="15" hidden="false" customHeight="false" outlineLevel="0" collapsed="false">
      <c r="A13" s="6" t="s">
        <v>148</v>
      </c>
      <c r="B13" s="6" t="s">
        <v>357</v>
      </c>
      <c r="C13" s="6" t="s">
        <v>346</v>
      </c>
      <c r="D13" s="7" t="n">
        <v>45256</v>
      </c>
      <c r="E13" s="6" t="s">
        <v>270</v>
      </c>
    </row>
    <row r="14" customFormat="false" ht="15" hidden="false" customHeight="false" outlineLevel="0" collapsed="false">
      <c r="A14" s="6" t="s">
        <v>154</v>
      </c>
      <c r="B14" s="6" t="s">
        <v>358</v>
      </c>
      <c r="C14" s="6" t="s">
        <v>346</v>
      </c>
      <c r="D14" s="7" t="n">
        <v>44997</v>
      </c>
      <c r="E14" s="6" t="s">
        <v>270</v>
      </c>
    </row>
    <row r="15" customFormat="false" ht="15" hidden="false" customHeight="false" outlineLevel="0" collapsed="false">
      <c r="A15" s="6" t="s">
        <v>159</v>
      </c>
      <c r="B15" s="6" t="s">
        <v>359</v>
      </c>
      <c r="C15" s="6" t="s">
        <v>346</v>
      </c>
      <c r="D15" s="7" t="n">
        <v>46696</v>
      </c>
      <c r="E15" s="6" t="s">
        <v>45</v>
      </c>
    </row>
    <row r="16" customFormat="false" ht="15" hidden="false" customHeight="false" outlineLevel="0" collapsed="false">
      <c r="A16" s="6" t="s">
        <v>163</v>
      </c>
      <c r="B16" s="6" t="s">
        <v>360</v>
      </c>
      <c r="C16" s="6" t="s">
        <v>346</v>
      </c>
      <c r="D16" s="7" t="n">
        <v>46157</v>
      </c>
      <c r="E16" s="6" t="s">
        <v>270</v>
      </c>
    </row>
    <row r="17" customFormat="false" ht="15" hidden="false" customHeight="false" outlineLevel="0" collapsed="false">
      <c r="A17" s="6" t="s">
        <v>173</v>
      </c>
      <c r="B17" s="6" t="s">
        <v>361</v>
      </c>
      <c r="C17" s="6" t="s">
        <v>346</v>
      </c>
      <c r="D17" s="7" t="n">
        <v>44726</v>
      </c>
      <c r="E17" s="6" t="s">
        <v>270</v>
      </c>
    </row>
    <row r="18" customFormat="false" ht="15" hidden="false" customHeight="false" outlineLevel="0" collapsed="false">
      <c r="A18" s="6" t="s">
        <v>177</v>
      </c>
      <c r="B18" s="6" t="s">
        <v>362</v>
      </c>
      <c r="C18" s="6" t="s">
        <v>346</v>
      </c>
      <c r="D18" s="7" t="n">
        <v>45556</v>
      </c>
      <c r="E18" s="6" t="s">
        <v>270</v>
      </c>
    </row>
    <row r="19" customFormat="false" ht="15" hidden="false" customHeight="false" outlineLevel="0" collapsed="false">
      <c r="A19" s="6" t="s">
        <v>180</v>
      </c>
      <c r="B19" s="6" t="s">
        <v>363</v>
      </c>
      <c r="C19" s="6" t="s">
        <v>346</v>
      </c>
      <c r="D19" s="7" t="n">
        <v>45661</v>
      </c>
      <c r="E19" s="6" t="s">
        <v>270</v>
      </c>
    </row>
    <row r="20" customFormat="false" ht="15" hidden="false" customHeight="false" outlineLevel="0" collapsed="false">
      <c r="A20" s="6" t="s">
        <v>188</v>
      </c>
      <c r="B20" s="6" t="s">
        <v>364</v>
      </c>
      <c r="C20" s="6" t="s">
        <v>346</v>
      </c>
      <c r="D20" s="7" t="n">
        <v>45506</v>
      </c>
      <c r="E20" s="6" t="s">
        <v>270</v>
      </c>
    </row>
    <row r="21" customFormat="false" ht="15" hidden="false" customHeight="false" outlineLevel="0" collapsed="false">
      <c r="A21" s="6" t="s">
        <v>192</v>
      </c>
      <c r="B21" s="6" t="s">
        <v>365</v>
      </c>
      <c r="C21" s="6" t="s">
        <v>346</v>
      </c>
      <c r="D21" s="7" t="n">
        <v>45078</v>
      </c>
      <c r="E21" s="6" t="s">
        <v>270</v>
      </c>
    </row>
    <row r="22" customFormat="false" ht="15" hidden="false" customHeight="false" outlineLevel="0" collapsed="false">
      <c r="A22" s="6" t="s">
        <v>197</v>
      </c>
      <c r="B22" s="6" t="s">
        <v>366</v>
      </c>
      <c r="C22" s="6" t="s">
        <v>346</v>
      </c>
      <c r="D22" s="7" t="n">
        <v>45486</v>
      </c>
      <c r="E22" s="6" t="s">
        <v>270</v>
      </c>
    </row>
    <row r="23" customFormat="false" ht="15" hidden="false" customHeight="false" outlineLevel="0" collapsed="false">
      <c r="A23" s="6" t="s">
        <v>201</v>
      </c>
      <c r="B23" s="6" t="s">
        <v>367</v>
      </c>
      <c r="C23" s="6" t="s">
        <v>346</v>
      </c>
      <c r="D23" s="7" t="n">
        <v>45720</v>
      </c>
      <c r="E23" s="6" t="s">
        <v>270</v>
      </c>
    </row>
    <row r="24" customFormat="false" ht="15" hidden="false" customHeight="false" outlineLevel="0" collapsed="false">
      <c r="A24" s="6" t="s">
        <v>204</v>
      </c>
      <c r="B24" s="6" t="s">
        <v>368</v>
      </c>
      <c r="C24" s="6" t="s">
        <v>346</v>
      </c>
      <c r="D24" s="7" t="n">
        <v>44725</v>
      </c>
      <c r="E24" s="6" t="s">
        <v>270</v>
      </c>
    </row>
    <row r="25" customFormat="false" ht="15" hidden="false" customHeight="false" outlineLevel="0" collapsed="false">
      <c r="A25" s="6" t="s">
        <v>210</v>
      </c>
      <c r="B25" s="6" t="s">
        <v>369</v>
      </c>
      <c r="C25" s="6" t="s">
        <v>346</v>
      </c>
      <c r="D25" s="7" t="n">
        <v>44989</v>
      </c>
      <c r="E25" s="6" t="s">
        <v>270</v>
      </c>
    </row>
    <row r="26" customFormat="false" ht="15" hidden="false" customHeight="false" outlineLevel="0" collapsed="false">
      <c r="A26" s="6" t="s">
        <v>218</v>
      </c>
      <c r="B26" s="6" t="s">
        <v>370</v>
      </c>
      <c r="C26" s="6" t="s">
        <v>346</v>
      </c>
      <c r="D26" s="7" t="n">
        <v>45757</v>
      </c>
      <c r="E26" s="6" t="s">
        <v>270</v>
      </c>
    </row>
    <row r="27" customFormat="false" ht="15" hidden="false" customHeight="false" outlineLevel="0" collapsed="false">
      <c r="A27" s="6" t="s">
        <v>222</v>
      </c>
      <c r="B27" s="6" t="s">
        <v>371</v>
      </c>
      <c r="C27" s="6" t="s">
        <v>346</v>
      </c>
      <c r="D27" s="7" t="n">
        <v>46107</v>
      </c>
      <c r="E27" s="6" t="s">
        <v>270</v>
      </c>
    </row>
    <row r="28" customFormat="false" ht="15" hidden="false" customHeight="false" outlineLevel="0" collapsed="false">
      <c r="A28" s="6" t="s">
        <v>226</v>
      </c>
      <c r="B28" s="6" t="s">
        <v>372</v>
      </c>
      <c r="C28" s="6" t="s">
        <v>346</v>
      </c>
      <c r="D28" s="7" t="n">
        <v>45193</v>
      </c>
      <c r="E28" s="6" t="s">
        <v>270</v>
      </c>
    </row>
    <row r="29" customFormat="false" ht="15" hidden="false" customHeight="false" outlineLevel="0" collapsed="false">
      <c r="A29" s="6" t="s">
        <v>230</v>
      </c>
      <c r="B29" s="6" t="s">
        <v>373</v>
      </c>
      <c r="C29" s="6" t="s">
        <v>346</v>
      </c>
      <c r="D29" s="7" t="n">
        <v>44750</v>
      </c>
      <c r="E29" s="6" t="s">
        <v>270</v>
      </c>
    </row>
    <row r="30" customFormat="false" ht="15" hidden="false" customHeight="false" outlineLevel="0" collapsed="false">
      <c r="A30" s="6" t="s">
        <v>233</v>
      </c>
      <c r="B30" s="6" t="s">
        <v>374</v>
      </c>
      <c r="C30" s="6" t="s">
        <v>346</v>
      </c>
      <c r="D30" s="7" t="n">
        <v>46466</v>
      </c>
      <c r="E30" s="6" t="s">
        <v>45</v>
      </c>
    </row>
    <row r="31" customFormat="false" ht="15" hidden="false" customHeight="false" outlineLevel="0" collapsed="false">
      <c r="A31" s="6" t="s">
        <v>238</v>
      </c>
      <c r="B31" s="6" t="s">
        <v>375</v>
      </c>
      <c r="C31" s="6" t="s">
        <v>346</v>
      </c>
      <c r="D31" s="7" t="n">
        <v>44762</v>
      </c>
      <c r="E31" s="6" t="s">
        <v>270</v>
      </c>
    </row>
    <row r="32" customFormat="false" ht="15" hidden="false" customHeight="false" outlineLevel="0" collapsed="false">
      <c r="A32" s="6" t="s">
        <v>243</v>
      </c>
      <c r="B32" s="6" t="s">
        <v>376</v>
      </c>
      <c r="C32" s="6" t="s">
        <v>346</v>
      </c>
      <c r="D32" s="7" t="n">
        <v>45678</v>
      </c>
      <c r="E32" s="6" t="s">
        <v>270</v>
      </c>
    </row>
    <row r="33" customFormat="false" ht="15" hidden="false" customHeight="false" outlineLevel="0" collapsed="false">
      <c r="A33" s="6" t="s">
        <v>251</v>
      </c>
      <c r="B33" s="6" t="s">
        <v>377</v>
      </c>
      <c r="C33" s="6" t="s">
        <v>346</v>
      </c>
      <c r="D33" s="7" t="n">
        <v>46278</v>
      </c>
      <c r="E33" s="6" t="s">
        <v>45</v>
      </c>
    </row>
  </sheetData>
  <conditionalFormatting sqref="E2:E33">
    <cfRule type="cellIs" priority="2" operator="equal" aboveAverage="0" equalAverage="0" bottom="0" percent="0" rank="0" text="" dxfId="6">
      <formula>"Expired"</formula>
    </cfRule>
    <cfRule type="cellIs" priority="3" operator="equal" aboveAverage="0" equalAverage="0" bottom="0" percent="0" rank="0" text="" dxfId="8">
      <formula>"Active"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6" min="5" style="0" width="15"/>
    <col collapsed="false" customWidth="true" hidden="false" outlineLevel="0" max="7" min="7" style="0" width="10"/>
  </cols>
  <sheetData>
    <row r="1" customFormat="false" ht="30" hidden="false" customHeight="true" outlineLevel="0" collapsed="false">
      <c r="A1" s="5" t="s">
        <v>18</v>
      </c>
      <c r="B1" s="5" t="s">
        <v>378</v>
      </c>
      <c r="C1" s="5" t="s">
        <v>379</v>
      </c>
      <c r="D1" s="5" t="s">
        <v>380</v>
      </c>
      <c r="E1" s="5" t="s">
        <v>381</v>
      </c>
      <c r="F1" s="5" t="s">
        <v>265</v>
      </c>
      <c r="G1" s="5" t="s">
        <v>266</v>
      </c>
    </row>
    <row r="2" customFormat="false" ht="15" hidden="false" customHeight="false" outlineLevel="0" collapsed="false">
      <c r="A2" s="6" t="s">
        <v>36</v>
      </c>
      <c r="B2" s="6" t="s">
        <v>382</v>
      </c>
      <c r="C2" s="6" t="s">
        <v>383</v>
      </c>
      <c r="D2" s="6" t="s">
        <v>384</v>
      </c>
      <c r="E2" s="7" t="n">
        <v>45298</v>
      </c>
      <c r="F2" s="7" t="n">
        <v>45664</v>
      </c>
      <c r="G2" s="6" t="s">
        <v>270</v>
      </c>
    </row>
    <row r="3" customFormat="false" ht="15" hidden="false" customHeight="false" outlineLevel="0" collapsed="false">
      <c r="A3" s="6" t="s">
        <v>48</v>
      </c>
      <c r="B3" s="6" t="s">
        <v>385</v>
      </c>
      <c r="C3" s="6" t="s">
        <v>386</v>
      </c>
      <c r="D3" s="6" t="s">
        <v>384</v>
      </c>
      <c r="E3" s="7" t="n">
        <v>45373</v>
      </c>
      <c r="F3" s="7" t="n">
        <v>45738</v>
      </c>
      <c r="G3" s="6" t="s">
        <v>270</v>
      </c>
    </row>
    <row r="4" customFormat="false" ht="15" hidden="false" customHeight="false" outlineLevel="0" collapsed="false">
      <c r="A4" s="6" t="s">
        <v>58</v>
      </c>
      <c r="B4" s="6" t="s">
        <v>387</v>
      </c>
      <c r="C4" s="6" t="s">
        <v>388</v>
      </c>
      <c r="D4" s="6" t="s">
        <v>384</v>
      </c>
      <c r="E4" s="7" t="n">
        <v>45359</v>
      </c>
      <c r="F4" s="7" t="n">
        <v>45724</v>
      </c>
      <c r="G4" s="6" t="s">
        <v>270</v>
      </c>
    </row>
    <row r="5" customFormat="false" ht="15" hidden="false" customHeight="false" outlineLevel="0" collapsed="false">
      <c r="A5" s="6" t="s">
        <v>66</v>
      </c>
      <c r="B5" s="6" t="s">
        <v>389</v>
      </c>
      <c r="C5" s="6" t="s">
        <v>390</v>
      </c>
      <c r="D5" s="6" t="s">
        <v>384</v>
      </c>
      <c r="E5" s="7" t="n">
        <v>45340</v>
      </c>
      <c r="F5" s="7" t="n">
        <v>45706</v>
      </c>
      <c r="G5" s="6" t="s">
        <v>270</v>
      </c>
    </row>
    <row r="6" customFormat="false" ht="15" hidden="false" customHeight="false" outlineLevel="0" collapsed="false">
      <c r="A6" s="6" t="s">
        <v>72</v>
      </c>
      <c r="B6" s="6" t="s">
        <v>387</v>
      </c>
      <c r="C6" s="6" t="s">
        <v>391</v>
      </c>
      <c r="D6" s="6" t="s">
        <v>384</v>
      </c>
      <c r="E6" s="7" t="n">
        <v>45561</v>
      </c>
      <c r="F6" s="7" t="n">
        <v>45926</v>
      </c>
      <c r="G6" s="6" t="s">
        <v>270</v>
      </c>
    </row>
    <row r="7" customFormat="false" ht="15" hidden="false" customHeight="false" outlineLevel="0" collapsed="false">
      <c r="A7" s="6" t="s">
        <v>81</v>
      </c>
      <c r="B7" s="6" t="s">
        <v>387</v>
      </c>
      <c r="C7" s="6" t="s">
        <v>392</v>
      </c>
      <c r="D7" s="6" t="s">
        <v>384</v>
      </c>
      <c r="E7" s="7" t="n">
        <v>45789</v>
      </c>
      <c r="F7" s="7" t="n">
        <v>46154</v>
      </c>
      <c r="G7" s="6" t="s">
        <v>270</v>
      </c>
    </row>
    <row r="8" customFormat="false" ht="15" hidden="false" customHeight="false" outlineLevel="0" collapsed="false">
      <c r="A8" s="6" t="s">
        <v>87</v>
      </c>
      <c r="B8" s="6" t="s">
        <v>385</v>
      </c>
      <c r="C8" s="6" t="s">
        <v>393</v>
      </c>
      <c r="D8" s="6" t="s">
        <v>384</v>
      </c>
      <c r="E8" s="7" t="n">
        <v>45894</v>
      </c>
      <c r="F8" s="7" t="n">
        <v>46259</v>
      </c>
      <c r="G8" s="6" t="s">
        <v>45</v>
      </c>
    </row>
    <row r="9" customFormat="false" ht="15" hidden="false" customHeight="false" outlineLevel="0" collapsed="false">
      <c r="A9" s="6" t="s">
        <v>93</v>
      </c>
      <c r="B9" s="6" t="s">
        <v>382</v>
      </c>
      <c r="C9" s="6" t="s">
        <v>394</v>
      </c>
      <c r="D9" s="6" t="s">
        <v>395</v>
      </c>
      <c r="E9" s="7" t="n">
        <v>45354</v>
      </c>
      <c r="F9" s="7" t="n">
        <v>45719</v>
      </c>
      <c r="G9" s="6" t="s">
        <v>270</v>
      </c>
    </row>
    <row r="10" customFormat="false" ht="15" hidden="false" customHeight="false" outlineLevel="0" collapsed="false">
      <c r="A10" s="6" t="s">
        <v>100</v>
      </c>
      <c r="B10" s="6" t="s">
        <v>396</v>
      </c>
      <c r="C10" s="6" t="s">
        <v>397</v>
      </c>
      <c r="D10" s="6" t="s">
        <v>384</v>
      </c>
      <c r="E10" s="7" t="n">
        <v>45352</v>
      </c>
      <c r="F10" s="7" t="n">
        <v>45717</v>
      </c>
      <c r="G10" s="6" t="s">
        <v>270</v>
      </c>
    </row>
    <row r="11" customFormat="false" ht="15" hidden="false" customHeight="false" outlineLevel="0" collapsed="false">
      <c r="A11" s="6" t="s">
        <v>106</v>
      </c>
      <c r="B11" s="6" t="s">
        <v>382</v>
      </c>
      <c r="C11" s="6" t="s">
        <v>398</v>
      </c>
      <c r="D11" s="6" t="s">
        <v>384</v>
      </c>
      <c r="E11" s="7" t="n">
        <v>45901</v>
      </c>
      <c r="F11" s="7" t="n">
        <v>46266</v>
      </c>
      <c r="G11" s="6" t="s">
        <v>45</v>
      </c>
    </row>
    <row r="12" customFormat="false" ht="15" hidden="false" customHeight="false" outlineLevel="0" collapsed="false">
      <c r="A12" s="6" t="s">
        <v>111</v>
      </c>
      <c r="B12" s="6" t="s">
        <v>387</v>
      </c>
      <c r="C12" s="6" t="s">
        <v>399</v>
      </c>
      <c r="D12" s="6" t="s">
        <v>384</v>
      </c>
      <c r="E12" s="7" t="n">
        <v>45367</v>
      </c>
      <c r="F12" s="7" t="n">
        <v>45732</v>
      </c>
      <c r="G12" s="6" t="s">
        <v>270</v>
      </c>
    </row>
    <row r="13" customFormat="false" ht="15" hidden="false" customHeight="false" outlineLevel="0" collapsed="false">
      <c r="A13" s="6" t="s">
        <v>115</v>
      </c>
      <c r="B13" s="6" t="s">
        <v>400</v>
      </c>
      <c r="C13" s="6" t="s">
        <v>401</v>
      </c>
      <c r="D13" s="6" t="s">
        <v>395</v>
      </c>
      <c r="E13" s="7" t="n">
        <v>45809</v>
      </c>
      <c r="F13" s="7" t="n">
        <v>46174</v>
      </c>
      <c r="G13" s="6" t="s">
        <v>270</v>
      </c>
    </row>
    <row r="14" customFormat="false" ht="15" hidden="false" customHeight="false" outlineLevel="0" collapsed="false">
      <c r="A14" s="6" t="s">
        <v>121</v>
      </c>
      <c r="B14" s="6" t="s">
        <v>396</v>
      </c>
      <c r="C14" s="6" t="s">
        <v>402</v>
      </c>
      <c r="D14" s="6" t="s">
        <v>384</v>
      </c>
      <c r="E14" s="7" t="n">
        <v>45888</v>
      </c>
      <c r="F14" s="7" t="n">
        <v>46253</v>
      </c>
      <c r="G14" s="6" t="s">
        <v>45</v>
      </c>
    </row>
    <row r="15" customFormat="false" ht="15" hidden="false" customHeight="false" outlineLevel="0" collapsed="false">
      <c r="A15" s="6" t="s">
        <v>127</v>
      </c>
      <c r="B15" s="6" t="s">
        <v>400</v>
      </c>
      <c r="C15" s="6" t="s">
        <v>403</v>
      </c>
      <c r="D15" s="6" t="s">
        <v>384</v>
      </c>
      <c r="E15" s="7" t="n">
        <v>45713</v>
      </c>
      <c r="F15" s="7" t="n">
        <v>46078</v>
      </c>
      <c r="G15" s="6" t="s">
        <v>270</v>
      </c>
    </row>
    <row r="16" customFormat="false" ht="15" hidden="false" customHeight="false" outlineLevel="0" collapsed="false">
      <c r="A16" s="6" t="s">
        <v>135</v>
      </c>
      <c r="B16" s="6" t="s">
        <v>387</v>
      </c>
      <c r="C16" s="6" t="s">
        <v>404</v>
      </c>
      <c r="D16" s="6" t="s">
        <v>384</v>
      </c>
      <c r="E16" s="7" t="n">
        <v>45559</v>
      </c>
      <c r="F16" s="7" t="n">
        <v>45924</v>
      </c>
      <c r="G16" s="6" t="s">
        <v>270</v>
      </c>
    </row>
    <row r="17" customFormat="false" ht="15" hidden="false" customHeight="false" outlineLevel="0" collapsed="false">
      <c r="A17" s="6" t="s">
        <v>141</v>
      </c>
      <c r="B17" s="6" t="s">
        <v>382</v>
      </c>
      <c r="C17" s="6" t="s">
        <v>405</v>
      </c>
      <c r="D17" s="6" t="s">
        <v>406</v>
      </c>
      <c r="E17" s="7" t="n">
        <v>45599</v>
      </c>
      <c r="F17" s="7" t="n">
        <v>45964</v>
      </c>
      <c r="G17" s="6" t="s">
        <v>270</v>
      </c>
    </row>
    <row r="18" customFormat="false" ht="15" hidden="false" customHeight="false" outlineLevel="0" collapsed="false">
      <c r="A18" s="6" t="s">
        <v>148</v>
      </c>
      <c r="B18" s="6" t="s">
        <v>385</v>
      </c>
      <c r="C18" s="6" t="s">
        <v>407</v>
      </c>
      <c r="D18" s="6" t="s">
        <v>406</v>
      </c>
      <c r="E18" s="7" t="n">
        <v>45971</v>
      </c>
      <c r="F18" s="7" t="n">
        <v>46336</v>
      </c>
      <c r="G18" s="6" t="s">
        <v>45</v>
      </c>
    </row>
    <row r="19" customFormat="false" ht="15" hidden="false" customHeight="false" outlineLevel="0" collapsed="false">
      <c r="A19" s="6" t="s">
        <v>154</v>
      </c>
      <c r="B19" s="6" t="s">
        <v>385</v>
      </c>
      <c r="C19" s="6" t="s">
        <v>408</v>
      </c>
      <c r="D19" s="6" t="s">
        <v>395</v>
      </c>
      <c r="E19" s="7" t="n">
        <v>46004</v>
      </c>
      <c r="F19" s="7" t="n">
        <v>46369</v>
      </c>
      <c r="G19" s="6" t="s">
        <v>45</v>
      </c>
    </row>
    <row r="20" customFormat="false" ht="15" hidden="false" customHeight="false" outlineLevel="0" collapsed="false">
      <c r="A20" s="6" t="s">
        <v>159</v>
      </c>
      <c r="B20" s="6" t="s">
        <v>382</v>
      </c>
      <c r="C20" s="6" t="s">
        <v>409</v>
      </c>
      <c r="D20" s="6" t="s">
        <v>384</v>
      </c>
      <c r="E20" s="7" t="n">
        <v>45742</v>
      </c>
      <c r="F20" s="7" t="n">
        <v>46107</v>
      </c>
      <c r="G20" s="6" t="s">
        <v>270</v>
      </c>
    </row>
    <row r="21" customFormat="false" ht="15" hidden="false" customHeight="false" outlineLevel="0" collapsed="false">
      <c r="A21" s="6" t="s">
        <v>163</v>
      </c>
      <c r="B21" s="6" t="s">
        <v>400</v>
      </c>
      <c r="C21" s="6" t="s">
        <v>410</v>
      </c>
      <c r="D21" s="6" t="s">
        <v>406</v>
      </c>
      <c r="E21" s="7" t="n">
        <v>45298</v>
      </c>
      <c r="F21" s="7" t="n">
        <v>45664</v>
      </c>
      <c r="G21" s="6" t="s">
        <v>270</v>
      </c>
    </row>
    <row r="22" customFormat="false" ht="15" hidden="false" customHeight="false" outlineLevel="0" collapsed="false">
      <c r="A22" s="6" t="s">
        <v>168</v>
      </c>
      <c r="B22" s="6" t="s">
        <v>385</v>
      </c>
      <c r="C22" s="6" t="s">
        <v>411</v>
      </c>
      <c r="D22" s="6" t="s">
        <v>384</v>
      </c>
      <c r="E22" s="7" t="n">
        <v>45695</v>
      </c>
      <c r="F22" s="7" t="n">
        <v>46060</v>
      </c>
      <c r="G22" s="6" t="s">
        <v>270</v>
      </c>
    </row>
    <row r="23" customFormat="false" ht="15" hidden="false" customHeight="false" outlineLevel="0" collapsed="false">
      <c r="A23" s="6" t="s">
        <v>173</v>
      </c>
      <c r="B23" s="6" t="s">
        <v>389</v>
      </c>
      <c r="C23" s="6" t="s">
        <v>412</v>
      </c>
      <c r="D23" s="6" t="s">
        <v>384</v>
      </c>
      <c r="E23" s="7" t="n">
        <v>45312</v>
      </c>
      <c r="F23" s="7" t="n">
        <v>45678</v>
      </c>
      <c r="G23" s="6" t="s">
        <v>270</v>
      </c>
    </row>
    <row r="24" customFormat="false" ht="15" hidden="false" customHeight="false" outlineLevel="0" collapsed="false">
      <c r="A24" s="6" t="s">
        <v>177</v>
      </c>
      <c r="B24" s="6" t="s">
        <v>400</v>
      </c>
      <c r="C24" s="6" t="s">
        <v>413</v>
      </c>
      <c r="D24" s="6" t="s">
        <v>384</v>
      </c>
      <c r="E24" s="7" t="n">
        <v>45871</v>
      </c>
      <c r="F24" s="7" t="n">
        <v>46236</v>
      </c>
      <c r="G24" s="6" t="s">
        <v>270</v>
      </c>
    </row>
    <row r="25" customFormat="false" ht="15" hidden="false" customHeight="false" outlineLevel="0" collapsed="false">
      <c r="A25" s="6" t="s">
        <v>180</v>
      </c>
      <c r="B25" s="6" t="s">
        <v>389</v>
      </c>
      <c r="C25" s="6" t="s">
        <v>414</v>
      </c>
      <c r="D25" s="6" t="s">
        <v>395</v>
      </c>
      <c r="E25" s="7" t="n">
        <v>45577</v>
      </c>
      <c r="F25" s="7" t="n">
        <v>45942</v>
      </c>
      <c r="G25" s="6" t="s">
        <v>270</v>
      </c>
    </row>
    <row r="26" customFormat="false" ht="15" hidden="false" customHeight="false" outlineLevel="0" collapsed="false">
      <c r="A26" s="6" t="s">
        <v>184</v>
      </c>
      <c r="B26" s="6" t="s">
        <v>382</v>
      </c>
      <c r="C26" s="6" t="s">
        <v>415</v>
      </c>
      <c r="D26" s="6" t="s">
        <v>384</v>
      </c>
      <c r="E26" s="7" t="n">
        <v>45792</v>
      </c>
      <c r="F26" s="7" t="n">
        <v>46157</v>
      </c>
      <c r="G26" s="6" t="s">
        <v>270</v>
      </c>
    </row>
    <row r="27" customFormat="false" ht="15" hidden="false" customHeight="false" outlineLevel="0" collapsed="false">
      <c r="A27" s="6" t="s">
        <v>188</v>
      </c>
      <c r="B27" s="6" t="s">
        <v>389</v>
      </c>
      <c r="C27" s="6" t="s">
        <v>416</v>
      </c>
      <c r="D27" s="6" t="s">
        <v>384</v>
      </c>
      <c r="E27" s="7" t="n">
        <v>45414</v>
      </c>
      <c r="F27" s="7" t="n">
        <v>45779</v>
      </c>
      <c r="G27" s="6" t="s">
        <v>270</v>
      </c>
    </row>
    <row r="28" customFormat="false" ht="15" hidden="false" customHeight="false" outlineLevel="0" collapsed="false">
      <c r="A28" s="6" t="s">
        <v>192</v>
      </c>
      <c r="B28" s="6" t="s">
        <v>396</v>
      </c>
      <c r="C28" s="6" t="s">
        <v>417</v>
      </c>
      <c r="D28" s="6" t="s">
        <v>406</v>
      </c>
      <c r="E28" s="7" t="n">
        <v>45879</v>
      </c>
      <c r="F28" s="7" t="n">
        <v>46244</v>
      </c>
      <c r="G28" s="6" t="s">
        <v>270</v>
      </c>
    </row>
    <row r="29" customFormat="false" ht="15" hidden="false" customHeight="false" outlineLevel="0" collapsed="false">
      <c r="A29" s="6" t="s">
        <v>197</v>
      </c>
      <c r="B29" s="6" t="s">
        <v>400</v>
      </c>
      <c r="C29" s="6" t="s">
        <v>418</v>
      </c>
      <c r="D29" s="6" t="s">
        <v>395</v>
      </c>
      <c r="E29" s="7" t="n">
        <v>45596</v>
      </c>
      <c r="F29" s="7" t="n">
        <v>45958</v>
      </c>
      <c r="G29" s="6" t="s">
        <v>270</v>
      </c>
    </row>
    <row r="30" customFormat="false" ht="15" hidden="false" customHeight="false" outlineLevel="0" collapsed="false">
      <c r="A30" s="6" t="s">
        <v>201</v>
      </c>
      <c r="B30" s="6" t="s">
        <v>396</v>
      </c>
      <c r="C30" s="6" t="s">
        <v>419</v>
      </c>
      <c r="D30" s="6" t="s">
        <v>384</v>
      </c>
      <c r="E30" s="7" t="n">
        <v>45562</v>
      </c>
      <c r="F30" s="7" t="n">
        <v>45927</v>
      </c>
      <c r="G30" s="6" t="s">
        <v>270</v>
      </c>
    </row>
    <row r="31" customFormat="false" ht="15" hidden="false" customHeight="false" outlineLevel="0" collapsed="false">
      <c r="A31" s="6" t="s">
        <v>204</v>
      </c>
      <c r="B31" s="6" t="s">
        <v>389</v>
      </c>
      <c r="C31" s="6" t="s">
        <v>420</v>
      </c>
      <c r="D31" s="6" t="s">
        <v>384</v>
      </c>
      <c r="E31" s="7" t="n">
        <v>45318</v>
      </c>
      <c r="F31" s="7" t="n">
        <v>45684</v>
      </c>
      <c r="G31" s="6" t="s">
        <v>270</v>
      </c>
    </row>
    <row r="32" customFormat="false" ht="15" hidden="false" customHeight="false" outlineLevel="0" collapsed="false">
      <c r="A32" s="6" t="s">
        <v>210</v>
      </c>
      <c r="B32" s="6" t="s">
        <v>400</v>
      </c>
      <c r="C32" s="6" t="s">
        <v>421</v>
      </c>
      <c r="D32" s="6" t="s">
        <v>395</v>
      </c>
      <c r="E32" s="7" t="n">
        <v>46002</v>
      </c>
      <c r="F32" s="7" t="n">
        <v>46367</v>
      </c>
      <c r="G32" s="6" t="s">
        <v>45</v>
      </c>
    </row>
    <row r="33" customFormat="false" ht="15" hidden="false" customHeight="false" outlineLevel="0" collapsed="false">
      <c r="A33" s="6" t="s">
        <v>215</v>
      </c>
      <c r="B33" s="6" t="s">
        <v>385</v>
      </c>
      <c r="C33" s="6" t="s">
        <v>422</v>
      </c>
      <c r="D33" s="6" t="s">
        <v>395</v>
      </c>
      <c r="E33" s="7" t="n">
        <v>45932</v>
      </c>
      <c r="F33" s="7" t="n">
        <v>46297</v>
      </c>
      <c r="G33" s="6" t="s">
        <v>45</v>
      </c>
    </row>
    <row r="34" customFormat="false" ht="15" hidden="false" customHeight="false" outlineLevel="0" collapsed="false">
      <c r="A34" s="6" t="s">
        <v>218</v>
      </c>
      <c r="B34" s="6" t="s">
        <v>396</v>
      </c>
      <c r="C34" s="6" t="s">
        <v>423</v>
      </c>
      <c r="D34" s="6" t="s">
        <v>384</v>
      </c>
      <c r="E34" s="7" t="n">
        <v>45775</v>
      </c>
      <c r="F34" s="7" t="n">
        <v>46140</v>
      </c>
      <c r="G34" s="6" t="s">
        <v>270</v>
      </c>
    </row>
    <row r="35" customFormat="false" ht="15" hidden="false" customHeight="false" outlineLevel="0" collapsed="false">
      <c r="A35" s="6" t="s">
        <v>222</v>
      </c>
      <c r="B35" s="6" t="s">
        <v>387</v>
      </c>
      <c r="C35" s="6" t="s">
        <v>424</v>
      </c>
      <c r="D35" s="6" t="s">
        <v>384</v>
      </c>
      <c r="E35" s="7" t="n">
        <v>46006</v>
      </c>
      <c r="F35" s="7" t="n">
        <v>46371</v>
      </c>
      <c r="G35" s="6" t="s">
        <v>45</v>
      </c>
    </row>
    <row r="36" customFormat="false" ht="15" hidden="false" customHeight="false" outlineLevel="0" collapsed="false">
      <c r="A36" s="6" t="s">
        <v>226</v>
      </c>
      <c r="B36" s="6" t="s">
        <v>382</v>
      </c>
      <c r="C36" s="6" t="s">
        <v>425</v>
      </c>
      <c r="D36" s="6" t="s">
        <v>395</v>
      </c>
      <c r="E36" s="7" t="n">
        <v>45638</v>
      </c>
      <c r="F36" s="7" t="n">
        <v>46003</v>
      </c>
      <c r="G36" s="6" t="s">
        <v>270</v>
      </c>
    </row>
    <row r="37" customFormat="false" ht="15" hidden="false" customHeight="false" outlineLevel="0" collapsed="false">
      <c r="A37" s="6" t="s">
        <v>230</v>
      </c>
      <c r="B37" s="6" t="s">
        <v>396</v>
      </c>
      <c r="C37" s="6" t="s">
        <v>426</v>
      </c>
      <c r="D37" s="6" t="s">
        <v>406</v>
      </c>
      <c r="E37" s="7" t="n">
        <v>45659</v>
      </c>
      <c r="F37" s="7" t="n">
        <v>46024</v>
      </c>
      <c r="G37" s="6" t="s">
        <v>270</v>
      </c>
    </row>
    <row r="38" customFormat="false" ht="15" hidden="false" customHeight="false" outlineLevel="0" collapsed="false">
      <c r="A38" s="6" t="s">
        <v>233</v>
      </c>
      <c r="B38" s="6" t="s">
        <v>400</v>
      </c>
      <c r="C38" s="6" t="s">
        <v>427</v>
      </c>
      <c r="D38" s="6" t="s">
        <v>395</v>
      </c>
      <c r="E38" s="7" t="n">
        <v>45367</v>
      </c>
      <c r="F38" s="7" t="n">
        <v>45732</v>
      </c>
      <c r="G38" s="6" t="s">
        <v>270</v>
      </c>
    </row>
    <row r="39" customFormat="false" ht="15" hidden="false" customHeight="false" outlineLevel="0" collapsed="false">
      <c r="A39" s="6" t="s">
        <v>238</v>
      </c>
      <c r="B39" s="6" t="s">
        <v>389</v>
      </c>
      <c r="C39" s="6" t="s">
        <v>428</v>
      </c>
      <c r="D39" s="6" t="s">
        <v>406</v>
      </c>
      <c r="E39" s="7" t="n">
        <v>45913</v>
      </c>
      <c r="F39" s="7" t="n">
        <v>46278</v>
      </c>
      <c r="G39" s="6" t="s">
        <v>45</v>
      </c>
    </row>
    <row r="40" customFormat="false" ht="15" hidden="false" customHeight="false" outlineLevel="0" collapsed="false">
      <c r="A40" s="6" t="s">
        <v>243</v>
      </c>
      <c r="B40" s="6" t="s">
        <v>385</v>
      </c>
      <c r="C40" s="6" t="s">
        <v>429</v>
      </c>
      <c r="D40" s="6" t="s">
        <v>406</v>
      </c>
      <c r="E40" s="7" t="n">
        <v>45594</v>
      </c>
      <c r="F40" s="7" t="n">
        <v>45958</v>
      </c>
      <c r="G40" s="6" t="s">
        <v>270</v>
      </c>
    </row>
    <row r="41" customFormat="false" ht="15" hidden="false" customHeight="false" outlineLevel="0" collapsed="false">
      <c r="A41" s="6" t="s">
        <v>246</v>
      </c>
      <c r="B41" s="6" t="s">
        <v>385</v>
      </c>
      <c r="C41" s="6" t="s">
        <v>430</v>
      </c>
      <c r="D41" s="6" t="s">
        <v>395</v>
      </c>
      <c r="E41" s="7" t="n">
        <v>45531</v>
      </c>
      <c r="F41" s="7" t="n">
        <v>45896</v>
      </c>
      <c r="G41" s="6" t="s">
        <v>270</v>
      </c>
    </row>
    <row r="42" customFormat="false" ht="15" hidden="false" customHeight="false" outlineLevel="0" collapsed="false">
      <c r="A42" s="6" t="s">
        <v>251</v>
      </c>
      <c r="B42" s="6" t="s">
        <v>400</v>
      </c>
      <c r="C42" s="6" t="s">
        <v>431</v>
      </c>
      <c r="D42" s="6" t="s">
        <v>395</v>
      </c>
      <c r="E42" s="7" t="n">
        <v>45793</v>
      </c>
      <c r="F42" s="7" t="n">
        <v>46158</v>
      </c>
      <c r="G42" s="6" t="s">
        <v>270</v>
      </c>
    </row>
    <row r="43" customFormat="false" ht="15" hidden="false" customHeight="false" outlineLevel="0" collapsed="false">
      <c r="A43" s="6" t="s">
        <v>256</v>
      </c>
      <c r="B43" s="6" t="s">
        <v>389</v>
      </c>
      <c r="C43" s="6" t="s">
        <v>432</v>
      </c>
      <c r="D43" s="6" t="s">
        <v>406</v>
      </c>
      <c r="E43" s="7" t="n">
        <v>45343</v>
      </c>
      <c r="F43" s="7" t="n">
        <v>45709</v>
      </c>
      <c r="G43" s="6" t="s">
        <v>270</v>
      </c>
    </row>
  </sheetData>
  <conditionalFormatting sqref="G2:G43">
    <cfRule type="cellIs" priority="2" operator="equal" aboveAverage="0" equalAverage="0" bottom="0" percent="0" rank="0" text="" dxfId="6">
      <formula>"Expired"</formula>
    </cfRule>
    <cfRule type="cellIs" priority="3" operator="equal" aboveAverage="0" equalAverage="0" bottom="0" percent="0" rank="0" text="" dxfId="8">
      <formula>"Active"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30" hidden="false" customHeight="true" outlineLevel="0" collapsed="false">
      <c r="A1" s="5" t="s">
        <v>18</v>
      </c>
      <c r="B1" s="5" t="s">
        <v>433</v>
      </c>
      <c r="C1" s="5" t="s">
        <v>434</v>
      </c>
      <c r="D1" s="5" t="s">
        <v>435</v>
      </c>
      <c r="E1" s="5" t="s">
        <v>436</v>
      </c>
      <c r="F1" s="5" t="s">
        <v>437</v>
      </c>
      <c r="G1" s="5" t="s">
        <v>438</v>
      </c>
    </row>
    <row r="2" customFormat="false" ht="15" hidden="false" customHeight="false" outlineLevel="0" collapsed="false">
      <c r="A2" s="6" t="s">
        <v>36</v>
      </c>
      <c r="B2" s="7" t="n">
        <v>46234</v>
      </c>
      <c r="C2" s="7" t="n">
        <v>46236</v>
      </c>
      <c r="D2" s="7" t="n">
        <v>46225</v>
      </c>
      <c r="E2" s="7" t="n">
        <v>46217</v>
      </c>
      <c r="F2" s="6" t="s">
        <v>439</v>
      </c>
      <c r="G2" s="7" t="n">
        <f aca="false">B2+30</f>
        <v>46264</v>
      </c>
    </row>
    <row r="3" customFormat="false" ht="15" hidden="false" customHeight="false" outlineLevel="0" collapsed="false">
      <c r="A3" s="6" t="s">
        <v>48</v>
      </c>
      <c r="B3" s="7" t="n">
        <v>46236</v>
      </c>
      <c r="C3" s="7" t="n">
        <v>46230</v>
      </c>
      <c r="D3" s="7" t="n">
        <v>46163</v>
      </c>
      <c r="E3" s="7" t="n">
        <v>46198</v>
      </c>
      <c r="F3" s="6" t="s">
        <v>439</v>
      </c>
      <c r="G3" s="7" t="n">
        <f aca="false">B3+30</f>
        <v>46266</v>
      </c>
    </row>
    <row r="4" customFormat="false" ht="15" hidden="false" customHeight="false" outlineLevel="0" collapsed="false">
      <c r="A4" s="6" t="s">
        <v>58</v>
      </c>
      <c r="B4" s="7" t="n">
        <v>46234</v>
      </c>
      <c r="C4" s="7" t="n">
        <v>46238</v>
      </c>
      <c r="D4" s="7" t="n">
        <v>46161</v>
      </c>
      <c r="E4" s="7" t="n">
        <v>46181</v>
      </c>
      <c r="F4" s="6" t="s">
        <v>439</v>
      </c>
      <c r="G4" s="7" t="n">
        <f aca="false">B4+30</f>
        <v>46264</v>
      </c>
    </row>
    <row r="5" customFormat="false" ht="15" hidden="false" customHeight="false" outlineLevel="0" collapsed="false">
      <c r="A5" s="6" t="s">
        <v>66</v>
      </c>
      <c r="B5" s="7" t="n">
        <v>46239</v>
      </c>
      <c r="C5" s="7" t="n">
        <v>46219</v>
      </c>
      <c r="D5" s="7" t="n">
        <v>46157</v>
      </c>
      <c r="E5" s="7" t="n">
        <v>46190</v>
      </c>
      <c r="F5" s="6" t="s">
        <v>439</v>
      </c>
      <c r="G5" s="7" t="n">
        <f aca="false">B5+30</f>
        <v>46269</v>
      </c>
    </row>
    <row r="6" customFormat="false" ht="15" hidden="false" customHeight="false" outlineLevel="0" collapsed="false">
      <c r="A6" s="6" t="s">
        <v>72</v>
      </c>
      <c r="B6" s="7" t="n">
        <v>46217</v>
      </c>
      <c r="C6" s="7" t="n">
        <v>46224</v>
      </c>
      <c r="D6" s="7" t="n">
        <v>46206</v>
      </c>
      <c r="E6" s="7" t="n">
        <v>46163</v>
      </c>
      <c r="F6" s="6" t="s">
        <v>439</v>
      </c>
      <c r="G6" s="7" t="n">
        <f aca="false">B6+30</f>
        <v>46247</v>
      </c>
    </row>
    <row r="7" customFormat="false" ht="15" hidden="false" customHeight="false" outlineLevel="0" collapsed="false">
      <c r="A7" s="6" t="s">
        <v>81</v>
      </c>
      <c r="B7" s="7" t="n">
        <v>46240</v>
      </c>
      <c r="C7" s="7" t="n">
        <v>46240</v>
      </c>
      <c r="D7" s="7" t="n">
        <v>46160</v>
      </c>
      <c r="E7" s="7" t="n">
        <v>46184</v>
      </c>
      <c r="F7" s="6" t="s">
        <v>439</v>
      </c>
      <c r="G7" s="7" t="n">
        <f aca="false">B7+30</f>
        <v>46270</v>
      </c>
    </row>
    <row r="8" customFormat="false" ht="15" hidden="false" customHeight="false" outlineLevel="0" collapsed="false">
      <c r="A8" s="6" t="s">
        <v>87</v>
      </c>
      <c r="B8" s="7" t="n">
        <v>46222</v>
      </c>
      <c r="C8" s="7" t="n">
        <v>46224</v>
      </c>
      <c r="D8" s="7" t="n">
        <v>46237</v>
      </c>
      <c r="E8" s="7" t="n">
        <v>46215</v>
      </c>
      <c r="F8" s="6" t="s">
        <v>439</v>
      </c>
      <c r="G8" s="7" t="n">
        <f aca="false">B8+30</f>
        <v>46252</v>
      </c>
    </row>
    <row r="9" customFormat="false" ht="15" hidden="false" customHeight="false" outlineLevel="0" collapsed="false">
      <c r="A9" s="6" t="s">
        <v>93</v>
      </c>
      <c r="B9" s="7" t="n">
        <v>46219</v>
      </c>
      <c r="C9" s="7" t="n">
        <v>46217</v>
      </c>
      <c r="D9" s="7" t="n">
        <v>46231</v>
      </c>
      <c r="E9" s="7" t="n">
        <v>46213</v>
      </c>
      <c r="F9" s="6" t="s">
        <v>439</v>
      </c>
      <c r="G9" s="7" t="n">
        <f aca="false">B9+30</f>
        <v>46249</v>
      </c>
    </row>
    <row r="10" customFormat="false" ht="15" hidden="false" customHeight="false" outlineLevel="0" collapsed="false">
      <c r="A10" s="6" t="s">
        <v>100</v>
      </c>
      <c r="B10" s="7" t="n">
        <v>46232</v>
      </c>
      <c r="C10" s="7" t="n">
        <v>46236</v>
      </c>
      <c r="D10" s="7" t="n">
        <v>46186</v>
      </c>
      <c r="E10" s="7" t="n">
        <v>46208</v>
      </c>
      <c r="F10" s="6" t="s">
        <v>439</v>
      </c>
      <c r="G10" s="7" t="n">
        <f aca="false">B10+30</f>
        <v>46262</v>
      </c>
    </row>
    <row r="11" customFormat="false" ht="15" hidden="false" customHeight="false" outlineLevel="0" collapsed="false">
      <c r="A11" s="6" t="s">
        <v>106</v>
      </c>
      <c r="B11" s="7" t="n">
        <v>46232</v>
      </c>
      <c r="C11" s="7" t="n">
        <v>46241</v>
      </c>
      <c r="D11" s="7" t="n">
        <v>46172</v>
      </c>
      <c r="E11" s="7" t="n">
        <v>46213</v>
      </c>
      <c r="F11" s="6" t="s">
        <v>439</v>
      </c>
      <c r="G11" s="7" t="n">
        <f aca="false">B11+30</f>
        <v>46262</v>
      </c>
    </row>
    <row r="12" customFormat="false" ht="15" hidden="false" customHeight="false" outlineLevel="0" collapsed="false">
      <c r="A12" s="6" t="s">
        <v>111</v>
      </c>
      <c r="B12" s="7" t="n">
        <v>46240</v>
      </c>
      <c r="C12" s="7" t="n">
        <v>46233</v>
      </c>
      <c r="D12" s="7" t="n">
        <v>46236</v>
      </c>
      <c r="E12" s="7" t="n">
        <v>46213</v>
      </c>
      <c r="F12" s="6" t="s">
        <v>439</v>
      </c>
      <c r="G12" s="7" t="n">
        <f aca="false">B12+30</f>
        <v>46270</v>
      </c>
    </row>
    <row r="13" customFormat="false" ht="15" hidden="false" customHeight="false" outlineLevel="0" collapsed="false">
      <c r="A13" s="6" t="s">
        <v>115</v>
      </c>
      <c r="B13" s="7" t="n">
        <v>46243</v>
      </c>
      <c r="C13" s="7" t="n">
        <v>46242</v>
      </c>
      <c r="D13" s="7" t="n">
        <v>46163</v>
      </c>
      <c r="E13" s="7" t="n">
        <v>46190</v>
      </c>
      <c r="F13" s="6" t="s">
        <v>439</v>
      </c>
      <c r="G13" s="7" t="n">
        <f aca="false">B13+30</f>
        <v>46273</v>
      </c>
    </row>
    <row r="14" customFormat="false" ht="15" hidden="false" customHeight="false" outlineLevel="0" collapsed="false">
      <c r="A14" s="6" t="s">
        <v>121</v>
      </c>
      <c r="B14" s="7" t="n">
        <v>46243</v>
      </c>
      <c r="C14" s="7" t="n">
        <v>46235</v>
      </c>
      <c r="D14" s="7" t="n">
        <v>46198</v>
      </c>
      <c r="E14" s="7" t="n">
        <v>46239</v>
      </c>
      <c r="F14" s="6" t="s">
        <v>439</v>
      </c>
      <c r="G14" s="7" t="n">
        <f aca="false">B14+30</f>
        <v>46273</v>
      </c>
    </row>
    <row r="15" customFormat="false" ht="15" hidden="false" customHeight="false" outlineLevel="0" collapsed="false">
      <c r="A15" s="6" t="s">
        <v>127</v>
      </c>
      <c r="B15" s="7" t="n">
        <v>46219</v>
      </c>
      <c r="C15" s="7" t="n">
        <v>46222</v>
      </c>
      <c r="D15" s="7" t="n">
        <v>46231</v>
      </c>
      <c r="E15" s="7" t="n">
        <v>46196</v>
      </c>
      <c r="F15" s="6" t="s">
        <v>439</v>
      </c>
      <c r="G15" s="7" t="n">
        <f aca="false">B15+30</f>
        <v>46249</v>
      </c>
    </row>
    <row r="16" customFormat="false" ht="15" hidden="false" customHeight="false" outlineLevel="0" collapsed="false">
      <c r="A16" s="6" t="s">
        <v>135</v>
      </c>
      <c r="B16" s="7" t="n">
        <v>46243</v>
      </c>
      <c r="C16" s="7" t="n">
        <v>46241</v>
      </c>
      <c r="D16" s="7" t="n">
        <v>46168</v>
      </c>
      <c r="E16" s="7" t="n">
        <v>46189</v>
      </c>
      <c r="F16" s="6" t="s">
        <v>439</v>
      </c>
      <c r="G16" s="7" t="n">
        <f aca="false">B16+30</f>
        <v>46273</v>
      </c>
    </row>
    <row r="17" customFormat="false" ht="15" hidden="false" customHeight="false" outlineLevel="0" collapsed="false">
      <c r="A17" s="6" t="s">
        <v>141</v>
      </c>
      <c r="B17" s="7" t="n">
        <v>46234</v>
      </c>
      <c r="C17" s="7" t="n">
        <v>46232</v>
      </c>
      <c r="D17" s="7" t="n">
        <v>46207</v>
      </c>
      <c r="E17" s="7" t="n">
        <v>46174</v>
      </c>
      <c r="F17" s="6" t="s">
        <v>439</v>
      </c>
      <c r="G17" s="7" t="n">
        <f aca="false">B17+30</f>
        <v>46264</v>
      </c>
    </row>
    <row r="18" customFormat="false" ht="15" hidden="false" customHeight="false" outlineLevel="0" collapsed="false">
      <c r="A18" s="6" t="s">
        <v>148</v>
      </c>
      <c r="B18" s="7" t="n">
        <v>46220</v>
      </c>
      <c r="C18" s="7" t="n">
        <v>46237</v>
      </c>
      <c r="D18" s="7" t="n">
        <v>46158</v>
      </c>
      <c r="E18" s="7" t="n">
        <v>46205</v>
      </c>
      <c r="F18" s="6" t="s">
        <v>439</v>
      </c>
      <c r="G18" s="7" t="n">
        <f aca="false">B18+30</f>
        <v>46250</v>
      </c>
    </row>
    <row r="19" customFormat="false" ht="15" hidden="false" customHeight="false" outlineLevel="0" collapsed="false">
      <c r="A19" s="6" t="s">
        <v>154</v>
      </c>
      <c r="B19" s="7" t="n">
        <v>46237</v>
      </c>
      <c r="C19" s="7" t="n">
        <v>46217</v>
      </c>
      <c r="D19" s="7" t="n">
        <v>46229</v>
      </c>
      <c r="E19" s="7" t="n">
        <v>46186</v>
      </c>
      <c r="F19" s="6" t="s">
        <v>439</v>
      </c>
      <c r="G19" s="7" t="n">
        <f aca="false">B19+30</f>
        <v>46267</v>
      </c>
    </row>
    <row r="20" customFormat="false" ht="15" hidden="false" customHeight="false" outlineLevel="0" collapsed="false">
      <c r="A20" s="6" t="s">
        <v>159</v>
      </c>
      <c r="B20" s="7" t="n">
        <v>46237</v>
      </c>
      <c r="C20" s="7" t="n">
        <v>46236</v>
      </c>
      <c r="D20" s="7" t="n">
        <v>46202</v>
      </c>
      <c r="E20" s="7" t="n">
        <v>46204</v>
      </c>
      <c r="F20" s="6" t="s">
        <v>439</v>
      </c>
      <c r="G20" s="7" t="n">
        <f aca="false">B20+30</f>
        <v>46267</v>
      </c>
    </row>
    <row r="21" customFormat="false" ht="15" hidden="false" customHeight="false" outlineLevel="0" collapsed="false">
      <c r="A21" s="6" t="s">
        <v>163</v>
      </c>
      <c r="B21" s="7" t="n">
        <v>46232</v>
      </c>
      <c r="C21" s="7" t="n">
        <v>46217</v>
      </c>
      <c r="D21" s="7" t="n">
        <v>46191</v>
      </c>
      <c r="E21" s="7" t="n">
        <v>46176</v>
      </c>
      <c r="F21" s="6" t="s">
        <v>439</v>
      </c>
      <c r="G21" s="7" t="n">
        <f aca="false">B21+30</f>
        <v>46262</v>
      </c>
    </row>
    <row r="22" customFormat="false" ht="15" hidden="false" customHeight="false" outlineLevel="0" collapsed="false">
      <c r="A22" s="6" t="s">
        <v>168</v>
      </c>
      <c r="B22" s="7" t="n">
        <v>46231</v>
      </c>
      <c r="C22" s="7" t="n">
        <v>46240</v>
      </c>
      <c r="D22" s="7" t="n">
        <v>46185</v>
      </c>
      <c r="E22" s="7" t="n">
        <v>46221</v>
      </c>
      <c r="F22" s="6" t="s">
        <v>439</v>
      </c>
      <c r="G22" s="7" t="n">
        <f aca="false">B22+30</f>
        <v>46261</v>
      </c>
    </row>
    <row r="23" customFormat="false" ht="15" hidden="false" customHeight="false" outlineLevel="0" collapsed="false">
      <c r="A23" s="6" t="s">
        <v>173</v>
      </c>
      <c r="B23" s="7" t="n">
        <v>46229</v>
      </c>
      <c r="C23" s="7" t="n">
        <v>46223</v>
      </c>
      <c r="D23" s="7" t="n">
        <v>46230</v>
      </c>
      <c r="E23" s="7" t="n">
        <v>46172</v>
      </c>
      <c r="F23" s="6" t="s">
        <v>439</v>
      </c>
      <c r="G23" s="7" t="n">
        <f aca="false">B23+30</f>
        <v>46259</v>
      </c>
    </row>
    <row r="24" customFormat="false" ht="15" hidden="false" customHeight="false" outlineLevel="0" collapsed="false">
      <c r="A24" s="6" t="s">
        <v>177</v>
      </c>
      <c r="B24" s="7" t="n">
        <v>46231</v>
      </c>
      <c r="C24" s="7" t="n">
        <v>46223</v>
      </c>
      <c r="D24" s="7" t="n">
        <v>46197</v>
      </c>
      <c r="E24" s="7" t="n">
        <v>46236</v>
      </c>
      <c r="F24" s="6" t="s">
        <v>439</v>
      </c>
      <c r="G24" s="7" t="n">
        <f aca="false">B24+30</f>
        <v>46261</v>
      </c>
    </row>
    <row r="25" customFormat="false" ht="15" hidden="false" customHeight="false" outlineLevel="0" collapsed="false">
      <c r="A25" s="6" t="s">
        <v>180</v>
      </c>
      <c r="B25" s="7" t="n">
        <v>46230</v>
      </c>
      <c r="C25" s="7" t="n">
        <v>46226</v>
      </c>
      <c r="D25" s="7" t="n">
        <v>46166</v>
      </c>
      <c r="E25" s="7" t="n">
        <v>46159</v>
      </c>
      <c r="F25" s="6" t="s">
        <v>439</v>
      </c>
      <c r="G25" s="7" t="n">
        <f aca="false">B25+30</f>
        <v>46260</v>
      </c>
    </row>
    <row r="26" customFormat="false" ht="15" hidden="false" customHeight="false" outlineLevel="0" collapsed="false">
      <c r="A26" s="6" t="s">
        <v>184</v>
      </c>
      <c r="B26" s="7" t="n">
        <v>46224</v>
      </c>
      <c r="C26" s="7" t="n">
        <v>46222</v>
      </c>
      <c r="D26" s="7" t="n">
        <v>46182</v>
      </c>
      <c r="E26" s="7" t="n">
        <v>46187</v>
      </c>
      <c r="F26" s="6" t="s">
        <v>439</v>
      </c>
      <c r="G26" s="7" t="n">
        <f aca="false">B26+30</f>
        <v>46254</v>
      </c>
    </row>
    <row r="27" customFormat="false" ht="15" hidden="false" customHeight="false" outlineLevel="0" collapsed="false">
      <c r="A27" s="6" t="s">
        <v>188</v>
      </c>
      <c r="B27" s="7" t="n">
        <v>46221</v>
      </c>
      <c r="C27" s="7" t="n">
        <v>46229</v>
      </c>
      <c r="D27" s="7" t="n">
        <v>46209</v>
      </c>
      <c r="E27" s="7" t="n">
        <v>46169</v>
      </c>
      <c r="F27" s="6" t="s">
        <v>439</v>
      </c>
      <c r="G27" s="7" t="n">
        <f aca="false">B27+30</f>
        <v>46251</v>
      </c>
    </row>
    <row r="28" customFormat="false" ht="15" hidden="false" customHeight="false" outlineLevel="0" collapsed="false">
      <c r="A28" s="6" t="s">
        <v>192</v>
      </c>
      <c r="B28" s="7" t="n">
        <v>46230</v>
      </c>
      <c r="C28" s="7" t="n">
        <v>46234</v>
      </c>
      <c r="D28" s="7" t="n">
        <v>46221</v>
      </c>
      <c r="E28" s="7" t="n">
        <v>46238</v>
      </c>
      <c r="F28" s="6" t="s">
        <v>439</v>
      </c>
      <c r="G28" s="7" t="n">
        <f aca="false">B28+30</f>
        <v>46260</v>
      </c>
    </row>
    <row r="29" customFormat="false" ht="15" hidden="false" customHeight="false" outlineLevel="0" collapsed="false">
      <c r="A29" s="6" t="s">
        <v>197</v>
      </c>
      <c r="B29" s="7" t="n">
        <v>46225</v>
      </c>
      <c r="C29" s="7" t="n">
        <v>46243</v>
      </c>
      <c r="D29" s="7" t="n">
        <v>46166</v>
      </c>
      <c r="E29" s="7" t="n">
        <v>46232</v>
      </c>
      <c r="F29" s="6" t="s">
        <v>439</v>
      </c>
      <c r="G29" s="7" t="n">
        <f aca="false">B29+30</f>
        <v>46255</v>
      </c>
    </row>
    <row r="30" customFormat="false" ht="15" hidden="false" customHeight="false" outlineLevel="0" collapsed="false">
      <c r="A30" s="6" t="s">
        <v>201</v>
      </c>
      <c r="B30" s="7" t="n">
        <v>46227</v>
      </c>
      <c r="C30" s="7" t="n">
        <v>46237</v>
      </c>
      <c r="D30" s="7" t="n">
        <v>46162</v>
      </c>
      <c r="E30" s="7" t="n">
        <v>46225</v>
      </c>
      <c r="F30" s="6" t="s">
        <v>439</v>
      </c>
      <c r="G30" s="7" t="n">
        <f aca="false">B30+30</f>
        <v>46257</v>
      </c>
    </row>
    <row r="31" customFormat="false" ht="15" hidden="false" customHeight="false" outlineLevel="0" collapsed="false">
      <c r="A31" s="6" t="s">
        <v>204</v>
      </c>
      <c r="B31" s="7" t="n">
        <v>46218</v>
      </c>
      <c r="C31" s="7" t="n">
        <v>46217</v>
      </c>
      <c r="D31" s="7" t="n">
        <v>46171</v>
      </c>
      <c r="E31" s="7" t="n">
        <v>46169</v>
      </c>
      <c r="F31" s="6" t="s">
        <v>439</v>
      </c>
      <c r="G31" s="7" t="n">
        <f aca="false">B31+30</f>
        <v>46248</v>
      </c>
    </row>
    <row r="32" customFormat="false" ht="15" hidden="false" customHeight="false" outlineLevel="0" collapsed="false">
      <c r="A32" s="6" t="s">
        <v>210</v>
      </c>
      <c r="B32" s="7" t="n">
        <v>46232</v>
      </c>
      <c r="C32" s="7" t="n">
        <v>46218</v>
      </c>
      <c r="D32" s="7" t="n">
        <v>46174</v>
      </c>
      <c r="E32" s="7" t="n">
        <v>46240</v>
      </c>
      <c r="F32" s="6" t="s">
        <v>439</v>
      </c>
      <c r="G32" s="7" t="n">
        <f aca="false">B32+30</f>
        <v>46262</v>
      </c>
    </row>
    <row r="33" customFormat="false" ht="15" hidden="false" customHeight="false" outlineLevel="0" collapsed="false">
      <c r="A33" s="6" t="s">
        <v>215</v>
      </c>
      <c r="B33" s="7" t="n">
        <v>46236</v>
      </c>
      <c r="C33" s="7" t="n">
        <v>46227</v>
      </c>
      <c r="D33" s="7" t="n">
        <v>46228</v>
      </c>
      <c r="E33" s="7" t="n">
        <v>46208</v>
      </c>
      <c r="F33" s="6" t="s">
        <v>439</v>
      </c>
      <c r="G33" s="7" t="n">
        <f aca="false">B33+30</f>
        <v>46266</v>
      </c>
    </row>
    <row r="34" customFormat="false" ht="15" hidden="false" customHeight="false" outlineLevel="0" collapsed="false">
      <c r="A34" s="6" t="s">
        <v>218</v>
      </c>
      <c r="B34" s="7" t="n">
        <v>46240</v>
      </c>
      <c r="C34" s="7" t="n">
        <v>46232</v>
      </c>
      <c r="D34" s="7" t="n">
        <v>46220</v>
      </c>
      <c r="E34" s="7" t="n">
        <v>46168</v>
      </c>
      <c r="F34" s="6" t="s">
        <v>439</v>
      </c>
      <c r="G34" s="7" t="n">
        <f aca="false">B34+30</f>
        <v>46270</v>
      </c>
    </row>
    <row r="35" customFormat="false" ht="15" hidden="false" customHeight="false" outlineLevel="0" collapsed="false">
      <c r="A35" s="6" t="s">
        <v>222</v>
      </c>
      <c r="B35" s="7" t="n">
        <v>46237</v>
      </c>
      <c r="C35" s="7" t="n">
        <v>46217</v>
      </c>
      <c r="D35" s="7" t="n">
        <v>46192</v>
      </c>
      <c r="E35" s="7" t="n">
        <v>46239</v>
      </c>
      <c r="F35" s="6" t="s">
        <v>439</v>
      </c>
      <c r="G35" s="7" t="n">
        <f aca="false">B35+30</f>
        <v>46267</v>
      </c>
    </row>
    <row r="36" customFormat="false" ht="15" hidden="false" customHeight="false" outlineLevel="0" collapsed="false">
      <c r="A36" s="6" t="s">
        <v>226</v>
      </c>
      <c r="B36" s="7" t="n">
        <v>46217</v>
      </c>
      <c r="C36" s="7" t="n">
        <v>46234</v>
      </c>
      <c r="D36" s="7" t="n">
        <v>46158</v>
      </c>
      <c r="E36" s="7" t="n">
        <v>46176</v>
      </c>
      <c r="F36" s="6" t="s">
        <v>439</v>
      </c>
      <c r="G36" s="7" t="n">
        <f aca="false">B36+30</f>
        <v>46247</v>
      </c>
    </row>
    <row r="37" customFormat="false" ht="15" hidden="false" customHeight="false" outlineLevel="0" collapsed="false">
      <c r="A37" s="6" t="s">
        <v>230</v>
      </c>
      <c r="B37" s="7" t="n">
        <v>46237</v>
      </c>
      <c r="C37" s="7" t="n">
        <v>46228</v>
      </c>
      <c r="D37" s="7" t="n">
        <v>46192</v>
      </c>
      <c r="E37" s="7" t="n">
        <v>46172</v>
      </c>
      <c r="F37" s="6" t="s">
        <v>439</v>
      </c>
      <c r="G37" s="7" t="n">
        <f aca="false">B37+30</f>
        <v>46267</v>
      </c>
    </row>
    <row r="38" customFormat="false" ht="15" hidden="false" customHeight="false" outlineLevel="0" collapsed="false">
      <c r="A38" s="6" t="s">
        <v>233</v>
      </c>
      <c r="B38" s="7" t="n">
        <v>46235</v>
      </c>
      <c r="C38" s="7" t="n">
        <v>46224</v>
      </c>
      <c r="D38" s="7" t="n">
        <v>46190</v>
      </c>
      <c r="E38" s="7" t="n">
        <v>46156</v>
      </c>
      <c r="F38" s="6" t="s">
        <v>439</v>
      </c>
      <c r="G38" s="7" t="n">
        <f aca="false">B38+30</f>
        <v>46265</v>
      </c>
    </row>
    <row r="39" customFormat="false" ht="15" hidden="false" customHeight="false" outlineLevel="0" collapsed="false">
      <c r="A39" s="6" t="s">
        <v>238</v>
      </c>
      <c r="B39" s="7" t="n">
        <v>46238</v>
      </c>
      <c r="C39" s="7" t="n">
        <v>46225</v>
      </c>
      <c r="D39" s="7" t="n">
        <v>46212</v>
      </c>
      <c r="E39" s="7" t="n">
        <v>46158</v>
      </c>
      <c r="F39" s="6" t="s">
        <v>439</v>
      </c>
      <c r="G39" s="7" t="n">
        <f aca="false">B39+30</f>
        <v>46268</v>
      </c>
    </row>
    <row r="40" customFormat="false" ht="15" hidden="false" customHeight="false" outlineLevel="0" collapsed="false">
      <c r="A40" s="6" t="s">
        <v>243</v>
      </c>
      <c r="B40" s="7" t="n">
        <v>46242</v>
      </c>
      <c r="C40" s="7" t="n">
        <v>46240</v>
      </c>
      <c r="D40" s="7" t="n">
        <v>46216</v>
      </c>
      <c r="E40" s="7" t="n">
        <v>46158</v>
      </c>
      <c r="F40" s="6" t="s">
        <v>439</v>
      </c>
      <c r="G40" s="7" t="n">
        <f aca="false">B40+30</f>
        <v>46272</v>
      </c>
    </row>
    <row r="41" customFormat="false" ht="15" hidden="false" customHeight="false" outlineLevel="0" collapsed="false">
      <c r="A41" s="6" t="s">
        <v>246</v>
      </c>
      <c r="B41" s="7" t="n">
        <v>46216</v>
      </c>
      <c r="C41" s="7" t="n">
        <v>46227</v>
      </c>
      <c r="D41" s="7" t="n">
        <v>46203</v>
      </c>
      <c r="E41" s="7" t="n">
        <v>46166</v>
      </c>
      <c r="F41" s="6" t="s">
        <v>439</v>
      </c>
      <c r="G41" s="7" t="n">
        <f aca="false">B41+30</f>
        <v>46246</v>
      </c>
    </row>
    <row r="42" customFormat="false" ht="15" hidden="false" customHeight="false" outlineLevel="0" collapsed="false">
      <c r="A42" s="6" t="s">
        <v>251</v>
      </c>
      <c r="B42" s="7" t="n">
        <v>46222</v>
      </c>
      <c r="C42" s="7" t="n">
        <v>46233</v>
      </c>
      <c r="D42" s="7" t="n">
        <v>46217</v>
      </c>
      <c r="E42" s="7" t="n">
        <v>46188</v>
      </c>
      <c r="F42" s="6" t="s">
        <v>439</v>
      </c>
      <c r="G42" s="7" t="n">
        <f aca="false">B42+30</f>
        <v>46252</v>
      </c>
    </row>
    <row r="43" customFormat="false" ht="15" hidden="false" customHeight="false" outlineLevel="0" collapsed="false">
      <c r="A43" s="6" t="s">
        <v>256</v>
      </c>
      <c r="B43" s="7" t="n">
        <v>46219</v>
      </c>
      <c r="C43" s="7" t="n">
        <v>46226</v>
      </c>
      <c r="D43" s="7" t="n">
        <v>46218</v>
      </c>
      <c r="E43" s="7" t="n">
        <v>46236</v>
      </c>
      <c r="F43" s="6" t="s">
        <v>439</v>
      </c>
      <c r="G43" s="7" t="n">
        <f aca="false">B43+30</f>
        <v>46249</v>
      </c>
    </row>
  </sheetData>
  <conditionalFormatting sqref="F2:F43">
    <cfRule type="cellIs" priority="2" operator="notEqual" aboveAverage="0" equalAverage="0" bottom="0" percent="0" rank="0" text="" dxfId="6">
      <formula>"Clear"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2026-08-11T19:50:22Z</dcterms:created>
  <dc:creator>openpyxl</dc:creator>
  <dc:description/>
  <dc:language>en-US</dc:language>
  <cp:lastModifiedBy/>
  <dcterms:modified xsi:type="dcterms:W3CDTF">2026-08-11T19:50:23Z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